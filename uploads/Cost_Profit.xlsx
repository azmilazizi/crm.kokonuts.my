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e776047e9c1cb1f7/"/>
    </mc:Choice>
  </mc:AlternateContent>
  <xr:revisionPtr revIDLastSave="0" documentId="8_{048B4069-FC1E-4325-82C6-F970994B9F9C}" xr6:coauthVersionLast="47" xr6:coauthVersionMax="47" xr10:uidLastSave="{00000000-0000-0000-0000-000000000000}"/>
  <bookViews>
    <workbookView xWindow="0" yWindow="0" windowWidth="28800" windowHeight="18000" firstSheet="13" activeTab="57" xr2:uid="{845114C0-6CB8-8F46-A20B-C337728976EE}"/>
  </bookViews>
  <sheets>
    <sheet name="Summary Product Cost &amp; Profit" sheetId="1" r:id="rId1"/>
    <sheet name="Mixed Ingredients Summary" sheetId="10" r:id="rId2"/>
    <sheet name="Coconut Paste" sheetId="7" r:id="rId3"/>
    <sheet name="Pandan Waffle Batter" sheetId="41" r:id="rId4"/>
    <sheet name="Matcha Concentrate" sheetId="8" r:id="rId5"/>
    <sheet name="Single Shot Espresso" sheetId="9" r:id="rId6"/>
    <sheet name="Milk Tea Concentrate" sheetId="11" r:id="rId7"/>
    <sheet name="Coffee Cloud" sheetId="49" r:id="rId8"/>
    <sheet name="Matcha Cloud" sheetId="50" r:id="rId9"/>
    <sheet name="Chocolate Cloud" sheetId="51" r:id="rId10"/>
    <sheet name="Mango Pudding" sheetId="12" r:id="rId11"/>
    <sheet name="Ingredients " sheetId="5" r:id="rId12"/>
    <sheet name="Packaging" sheetId="6" r:id="rId13"/>
    <sheet name="Original Coconut Shake" sheetId="3" r:id="rId14"/>
    <sheet name="Mango Coconut Shake" sheetId="13" r:id="rId15"/>
    <sheet name="Honey Lemon Coconut Shake" sheetId="14" r:id="rId16"/>
    <sheet name="Banana Coconut Shake" sheetId="15" r:id="rId17"/>
    <sheet name="Mixed Berry Coconut Shake" sheetId="16" r:id="rId18"/>
    <sheet name="Kiwi Coconut Shake" sheetId="17" r:id="rId19"/>
    <sheet name="Strawberry Coconut Shake" sheetId="18" r:id="rId20"/>
    <sheet name="Kurma Coconut Shake" sheetId="19" r:id="rId21"/>
    <sheet name="Vanilla Latte Coconut Shake" sheetId="23" r:id="rId22"/>
    <sheet name="Mocha Coconut Shake" sheetId="22" r:id="rId23"/>
    <sheet name="Hazelnut Latte Coconut Shake" sheetId="24" r:id="rId24"/>
    <sheet name="Chocolate Coconut Shake" sheetId="25" r:id="rId25"/>
    <sheet name="Caramel Machiato Coconut Shake" sheetId="26" r:id="rId26"/>
    <sheet name="Cafe Latte Coconut Shake" sheetId="27" r:id="rId27"/>
    <sheet name="Milk Tea Coconut Shake" sheetId="29" r:id="rId28"/>
    <sheet name="Matcha Coconut Shake" sheetId="57" r:id="rId29"/>
    <sheet name="Brown Sugar Coconut Shake" sheetId="30" r:id="rId30"/>
    <sheet name="Brown Sugar Milk Tea Shake" sheetId="28" r:id="rId31"/>
    <sheet name="Brown Sugar Matcha Shake" sheetId="31" r:id="rId32"/>
    <sheet name="Coconut Fresh Juice" sheetId="21" r:id="rId33"/>
    <sheet name="Cafe Latte" sheetId="46" r:id="rId34"/>
    <sheet name="Hazelnut Latte" sheetId="47" r:id="rId35"/>
    <sheet name="Caramel Latte" sheetId="48" r:id="rId36"/>
    <sheet name="Vanilla Latte" sheetId="59" r:id="rId37"/>
    <sheet name="Mocha" sheetId="58" r:id="rId38"/>
    <sheet name="Coconut Creme Coffee" sheetId="54" r:id="rId39"/>
    <sheet name="Coconut Creme Matcha" sheetId="55" r:id="rId40"/>
    <sheet name="Coconut Creme Chocolate" sheetId="56" r:id="rId41"/>
    <sheet name="Strawberry Yakult Coconut" sheetId="61" r:id="rId42"/>
    <sheet name="Strawberry Oreo Coconut Iced" sheetId="63" r:id="rId43"/>
    <sheet name="Honey Lemon Yakult Coconut" sheetId="60" r:id="rId44"/>
    <sheet name="Tempura Nuggets" sheetId="32" r:id="rId45"/>
    <sheet name="Potato Wedges" sheetId="33" r:id="rId46"/>
    <sheet name="Chicken Popcorn" sheetId="42" r:id="rId47"/>
    <sheet name="Curly Fries" sheetId="43" r:id="rId48"/>
    <sheet name="Chicken Sausage" sheetId="44" r:id="rId49"/>
    <sheet name="Munchkins" sheetId="34" r:id="rId50"/>
    <sheet name="Pandan Waffle" sheetId="40" r:id="rId51"/>
    <sheet name="Cheesy Ramen" sheetId="62" r:id="rId52"/>
    <sheet name="Combo Summary" sheetId="35" r:id="rId53"/>
    <sheet name="Ori X Tempura Nuggets" sheetId="37" r:id="rId54"/>
    <sheet name="Ori X Wedges" sheetId="36" r:id="rId55"/>
    <sheet name="2 Pax - Ori Coconut Shake" sheetId="38" r:id="rId56"/>
    <sheet name="4 Pax - Ori Coconut Shake" sheetId="39" r:id="rId57"/>
    <sheet name="Perfect Combo" sheetId="45" r:id="rId5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9" l="1"/>
  <c r="C11" i="38"/>
  <c r="E9" i="5"/>
  <c r="E8" i="5"/>
  <c r="D24" i="63"/>
  <c r="C24" i="63"/>
  <c r="C23" i="63"/>
  <c r="D23" i="63" s="1"/>
  <c r="C22" i="63"/>
  <c r="D22" i="63" s="1"/>
  <c r="D25" i="63" s="1"/>
  <c r="D11" i="63"/>
  <c r="C11" i="63"/>
  <c r="D10" i="63"/>
  <c r="D12" i="63" s="1"/>
  <c r="C10" i="63"/>
  <c r="D61" i="5"/>
  <c r="AM16" i="40"/>
  <c r="AL16" i="40"/>
  <c r="AM15" i="40"/>
  <c r="AM17" i="40" s="1"/>
  <c r="AL15" i="40"/>
  <c r="AL12" i="40"/>
  <c r="AM12" i="40" s="1"/>
  <c r="D60" i="5"/>
  <c r="D62" i="5"/>
  <c r="F59" i="5"/>
  <c r="F60" i="5"/>
  <c r="F61" i="5"/>
  <c r="F62" i="5"/>
  <c r="D25" i="62"/>
  <c r="C25" i="62"/>
  <c r="D24" i="62"/>
  <c r="C24" i="62"/>
  <c r="C18" i="62"/>
  <c r="D18" i="62" s="1"/>
  <c r="X16" i="62"/>
  <c r="W16" i="62"/>
  <c r="S16" i="62"/>
  <c r="R16" i="62"/>
  <c r="N16" i="62"/>
  <c r="M16" i="62"/>
  <c r="I16" i="62"/>
  <c r="H16" i="62"/>
  <c r="X15" i="62"/>
  <c r="X17" i="62" s="1"/>
  <c r="W15" i="62"/>
  <c r="S15" i="62"/>
  <c r="S17" i="62" s="1"/>
  <c r="R15" i="62"/>
  <c r="N15" i="62"/>
  <c r="N17" i="62" s="1"/>
  <c r="M15" i="62"/>
  <c r="I15" i="62"/>
  <c r="I17" i="62" s="1"/>
  <c r="H15" i="62"/>
  <c r="X12" i="62"/>
  <c r="W12" i="62"/>
  <c r="S12" i="62"/>
  <c r="R12" i="62"/>
  <c r="N12" i="62"/>
  <c r="M12" i="62"/>
  <c r="I12" i="62"/>
  <c r="H12" i="62"/>
  <c r="D11" i="62"/>
  <c r="C11" i="62"/>
  <c r="D24" i="61"/>
  <c r="C24" i="61"/>
  <c r="D11" i="61"/>
  <c r="C11" i="61"/>
  <c r="D19" i="6"/>
  <c r="F19" i="6"/>
  <c r="C22" i="61" s="1"/>
  <c r="D22" i="61" s="1"/>
  <c r="F20" i="6"/>
  <c r="D24" i="60"/>
  <c r="C24" i="60"/>
  <c r="C22" i="60"/>
  <c r="D22" i="60" s="1"/>
  <c r="D11" i="60"/>
  <c r="C11" i="60"/>
  <c r="D57" i="5"/>
  <c r="C38" i="1" a="1"/>
  <c r="C38" i="1"/>
  <c r="C37" i="1" a="1"/>
  <c r="C37" i="1"/>
  <c r="C36" i="1" a="1"/>
  <c r="C36" i="1"/>
  <c r="C30" i="1" a="1"/>
  <c r="C30" i="1"/>
  <c r="C31" i="1" a="1"/>
  <c r="C31" i="1"/>
  <c r="C32" i="1" a="1"/>
  <c r="C32" i="1"/>
  <c r="C33" i="1" a="1"/>
  <c r="C33" i="1"/>
  <c r="C34" i="1" a="1"/>
  <c r="C34" i="1"/>
  <c r="D24" i="59"/>
  <c r="C24" i="59"/>
  <c r="D11" i="59"/>
  <c r="C11" i="59"/>
  <c r="D10" i="59"/>
  <c r="D12" i="59" s="1"/>
  <c r="C10" i="59"/>
  <c r="D24" i="58"/>
  <c r="C24" i="58"/>
  <c r="D11" i="58"/>
  <c r="C11" i="58"/>
  <c r="D10" i="58"/>
  <c r="D12" i="58" s="1"/>
  <c r="C10" i="58"/>
  <c r="C25" i="1" a="1"/>
  <c r="C25" i="1"/>
  <c r="D25" i="57"/>
  <c r="C25" i="57"/>
  <c r="D19" i="57"/>
  <c r="C19" i="57"/>
  <c r="D18" i="57"/>
  <c r="C18" i="57"/>
  <c r="D24" i="56"/>
  <c r="C24" i="56"/>
  <c r="D18" i="56"/>
  <c r="C18" i="56"/>
  <c r="D17" i="56"/>
  <c r="C17" i="56"/>
  <c r="D11" i="56"/>
  <c r="C11" i="56"/>
  <c r="D24" i="55"/>
  <c r="C24" i="55"/>
  <c r="D18" i="55"/>
  <c r="C18" i="55"/>
  <c r="D17" i="55"/>
  <c r="C17" i="55"/>
  <c r="D11" i="55"/>
  <c r="C11" i="55"/>
  <c r="C10" i="10" a="1"/>
  <c r="C10" i="10"/>
  <c r="C11" i="10" a="1"/>
  <c r="C11" i="10"/>
  <c r="C12" i="10" a="1"/>
  <c r="C12" i="10"/>
  <c r="C17" i="54"/>
  <c r="D17" i="54"/>
  <c r="C18" i="54"/>
  <c r="D18" i="54"/>
  <c r="D24" i="54"/>
  <c r="C24" i="54"/>
  <c r="D11" i="54"/>
  <c r="C11" i="54"/>
  <c r="D17" i="51"/>
  <c r="C17" i="51"/>
  <c r="D17" i="50"/>
  <c r="C17" i="50"/>
  <c r="D11" i="50"/>
  <c r="C11" i="50"/>
  <c r="C11" i="49"/>
  <c r="D11" i="49"/>
  <c r="D17" i="49"/>
  <c r="C17" i="49"/>
  <c r="D24" i="48"/>
  <c r="C24" i="48"/>
  <c r="D11" i="48"/>
  <c r="C11" i="48"/>
  <c r="D10" i="48"/>
  <c r="D12" i="48" s="1"/>
  <c r="C10" i="48"/>
  <c r="D24" i="47"/>
  <c r="C24" i="47"/>
  <c r="D11" i="47"/>
  <c r="C11" i="47"/>
  <c r="D10" i="47"/>
  <c r="D12" i="47" s="1"/>
  <c r="C10" i="47"/>
  <c r="D17" i="6"/>
  <c r="D18" i="6"/>
  <c r="F17" i="6"/>
  <c r="F18" i="6"/>
  <c r="D54" i="5"/>
  <c r="F54" i="5" s="1"/>
  <c r="D55" i="5"/>
  <c r="D56" i="5"/>
  <c r="D58" i="5"/>
  <c r="F55" i="5"/>
  <c r="F56" i="5"/>
  <c r="F57" i="5"/>
  <c r="F58" i="5"/>
  <c r="C16" i="62" s="1"/>
  <c r="D16" i="62" s="1"/>
  <c r="C24" i="46"/>
  <c r="D24" i="46" s="1"/>
  <c r="D18" i="46"/>
  <c r="C18" i="46"/>
  <c r="D11" i="46"/>
  <c r="C11" i="46"/>
  <c r="D10" i="46"/>
  <c r="D12" i="46" s="1"/>
  <c r="C10" i="46"/>
  <c r="D17" i="45"/>
  <c r="C17" i="45"/>
  <c r="C44" i="1" a="1"/>
  <c r="C44" i="1"/>
  <c r="C40" i="1" a="1"/>
  <c r="C40" i="1"/>
  <c r="C41" i="1" a="1"/>
  <c r="C41" i="1"/>
  <c r="C42" i="1" a="1"/>
  <c r="C42" i="1"/>
  <c r="C18" i="21"/>
  <c r="D18" i="21"/>
  <c r="D20" i="44"/>
  <c r="C20" i="44"/>
  <c r="D19" i="44"/>
  <c r="C19" i="44"/>
  <c r="N16" i="44"/>
  <c r="M16" i="44"/>
  <c r="I16" i="44"/>
  <c r="H16" i="44"/>
  <c r="N15" i="44"/>
  <c r="N17" i="44" s="1"/>
  <c r="M15" i="44"/>
  <c r="I15" i="44"/>
  <c r="I17" i="44" s="1"/>
  <c r="H15" i="44"/>
  <c r="D14" i="44"/>
  <c r="N12" i="44"/>
  <c r="M12" i="44"/>
  <c r="I12" i="44"/>
  <c r="H12" i="44"/>
  <c r="D20" i="43"/>
  <c r="C20" i="43"/>
  <c r="D19" i="43"/>
  <c r="C19" i="43"/>
  <c r="N16" i="43"/>
  <c r="M16" i="43"/>
  <c r="I16" i="43"/>
  <c r="H16" i="43"/>
  <c r="N15" i="43"/>
  <c r="N17" i="43" s="1"/>
  <c r="M15" i="43"/>
  <c r="I15" i="43"/>
  <c r="I17" i="43" s="1"/>
  <c r="H15" i="43"/>
  <c r="D14" i="43"/>
  <c r="N12" i="43"/>
  <c r="M12" i="43"/>
  <c r="I12" i="43"/>
  <c r="H12" i="43"/>
  <c r="D16" i="6"/>
  <c r="F16" i="6"/>
  <c r="D51" i="5"/>
  <c r="F51" i="5"/>
  <c r="F52" i="5"/>
  <c r="F53" i="5"/>
  <c r="C26" i="42"/>
  <c r="D26" i="42" s="1"/>
  <c r="D20" i="42"/>
  <c r="C20" i="42"/>
  <c r="D19" i="42"/>
  <c r="C19" i="42"/>
  <c r="N16" i="42"/>
  <c r="M16" i="42"/>
  <c r="I16" i="42"/>
  <c r="H16" i="42"/>
  <c r="N15" i="42"/>
  <c r="N17" i="42" s="1"/>
  <c r="M15" i="42"/>
  <c r="I15" i="42"/>
  <c r="I17" i="42" s="1"/>
  <c r="H15" i="42"/>
  <c r="D14" i="42"/>
  <c r="N12" i="42"/>
  <c r="M12" i="42"/>
  <c r="I12" i="42"/>
  <c r="H12" i="42"/>
  <c r="AH16" i="40"/>
  <c r="AG16" i="40"/>
  <c r="AH15" i="40"/>
  <c r="AH17" i="40" s="1"/>
  <c r="AG15" i="40"/>
  <c r="D15" i="6"/>
  <c r="F15" i="6"/>
  <c r="C23" i="62" s="1"/>
  <c r="D23" i="62" s="1"/>
  <c r="D26" i="62" s="1"/>
  <c r="D50" i="5"/>
  <c r="F50" i="5"/>
  <c r="C11" i="41" s="1"/>
  <c r="D49" i="5"/>
  <c r="F49" i="5"/>
  <c r="D11" i="41"/>
  <c r="C9" i="10" a="1"/>
  <c r="C9" i="10"/>
  <c r="C24" i="40"/>
  <c r="D24" i="40" s="1"/>
  <c r="C23" i="40"/>
  <c r="D23" i="40" s="1"/>
  <c r="C22" i="40"/>
  <c r="D22" i="40" s="1"/>
  <c r="D25" i="40" s="1"/>
  <c r="D18" i="40"/>
  <c r="C18" i="40"/>
  <c r="D17" i="40"/>
  <c r="C17" i="40"/>
  <c r="AC16" i="40"/>
  <c r="AB16" i="40"/>
  <c r="X16" i="40"/>
  <c r="W16" i="40"/>
  <c r="S16" i="40"/>
  <c r="R16" i="40"/>
  <c r="N16" i="40"/>
  <c r="M16" i="40"/>
  <c r="I16" i="40"/>
  <c r="H16" i="40"/>
  <c r="AC15" i="40"/>
  <c r="AC17" i="40" s="1"/>
  <c r="AB15" i="40"/>
  <c r="X15" i="40"/>
  <c r="X17" i="40" s="1"/>
  <c r="W15" i="40"/>
  <c r="S15" i="40"/>
  <c r="S17" i="40" s="1"/>
  <c r="R15" i="40"/>
  <c r="N15" i="40"/>
  <c r="N17" i="40" s="1"/>
  <c r="M15" i="40"/>
  <c r="I15" i="40"/>
  <c r="I17" i="40" s="1"/>
  <c r="H15" i="40"/>
  <c r="D11" i="40"/>
  <c r="C11" i="40"/>
  <c r="D48" i="5"/>
  <c r="F48" i="5"/>
  <c r="C9" i="41" s="1"/>
  <c r="D9" i="41" s="1"/>
  <c r="C50" i="1" a="1"/>
  <c r="C50" i="1"/>
  <c r="C51" i="1" a="1"/>
  <c r="C51" i="1"/>
  <c r="D17" i="39"/>
  <c r="C17" i="39"/>
  <c r="D11" i="39"/>
  <c r="D17" i="38"/>
  <c r="C17" i="38"/>
  <c r="C49" i="1" a="1"/>
  <c r="C49" i="1"/>
  <c r="C48" i="1" a="1"/>
  <c r="C48" i="1"/>
  <c r="E55" i="1"/>
  <c r="E56" i="1"/>
  <c r="E57" i="1"/>
  <c r="E59" i="1"/>
  <c r="E60" i="1"/>
  <c r="E61" i="1"/>
  <c r="E62" i="1"/>
  <c r="E63" i="1"/>
  <c r="E64" i="1"/>
  <c r="E65" i="1"/>
  <c r="D17" i="37"/>
  <c r="C17" i="37"/>
  <c r="C17" i="36"/>
  <c r="D17" i="36"/>
  <c r="C8" i="35" a="1"/>
  <c r="C8" i="35"/>
  <c r="C7" i="35" a="1"/>
  <c r="C7" i="35"/>
  <c r="C6" i="35" a="1"/>
  <c r="C6" i="35"/>
  <c r="C5" i="35" a="1"/>
  <c r="C5" i="35"/>
  <c r="C4" i="35" a="1"/>
  <c r="C4" i="35"/>
  <c r="AH16" i="34"/>
  <c r="AG16" i="34"/>
  <c r="AH15" i="34"/>
  <c r="AH17" i="34"/>
  <c r="AG15" i="34"/>
  <c r="AC16" i="34"/>
  <c r="AB16" i="34"/>
  <c r="AC15" i="34"/>
  <c r="AC17" i="34"/>
  <c r="AB15" i="34"/>
  <c r="X16" i="34"/>
  <c r="W16" i="34"/>
  <c r="X15" i="34"/>
  <c r="X17" i="34"/>
  <c r="W15" i="34"/>
  <c r="S16" i="34"/>
  <c r="R16" i="34"/>
  <c r="S15" i="34"/>
  <c r="S17" i="34"/>
  <c r="R15" i="34"/>
  <c r="N16" i="34"/>
  <c r="M16" i="34"/>
  <c r="N15" i="34"/>
  <c r="N17" i="34"/>
  <c r="M15" i="34"/>
  <c r="D40" i="5"/>
  <c r="D46" i="5"/>
  <c r="D47" i="5"/>
  <c r="D41" i="5"/>
  <c r="F40" i="5"/>
  <c r="AB12" i="34"/>
  <c r="AC12" i="34"/>
  <c r="F46" i="5"/>
  <c r="AG12" i="34"/>
  <c r="AH12" i="34"/>
  <c r="F47" i="5"/>
  <c r="AL11" i="40" s="1"/>
  <c r="AM11" i="40" s="1"/>
  <c r="AM13" i="40" s="1"/>
  <c r="AG11" i="34"/>
  <c r="AH11" i="34"/>
  <c r="AH13" i="34"/>
  <c r="F41" i="5"/>
  <c r="AB11" i="34"/>
  <c r="AC11" i="34"/>
  <c r="D39" i="5"/>
  <c r="D43" i="5"/>
  <c r="D45" i="5"/>
  <c r="F39" i="5"/>
  <c r="M12" i="34"/>
  <c r="N12" i="34"/>
  <c r="F43" i="5"/>
  <c r="R11" i="34"/>
  <c r="S11" i="34"/>
  <c r="F45" i="5"/>
  <c r="W11" i="34"/>
  <c r="X11" i="34"/>
  <c r="D42" i="5"/>
  <c r="D44" i="5"/>
  <c r="F44" i="5"/>
  <c r="F42" i="5"/>
  <c r="M11" i="34"/>
  <c r="N11" i="34"/>
  <c r="N13" i="34"/>
  <c r="D38" i="5"/>
  <c r="F38" i="5"/>
  <c r="H12" i="40" s="1"/>
  <c r="I12" i="40" s="1"/>
  <c r="I16" i="34"/>
  <c r="H16" i="34"/>
  <c r="I15" i="34"/>
  <c r="I17" i="34"/>
  <c r="H15" i="34"/>
  <c r="H12" i="34"/>
  <c r="I12" i="34"/>
  <c r="N16" i="32"/>
  <c r="M16" i="32"/>
  <c r="N15" i="32"/>
  <c r="N17" i="32"/>
  <c r="M15" i="32"/>
  <c r="N12" i="32"/>
  <c r="M12" i="32"/>
  <c r="I16" i="32"/>
  <c r="H16" i="32"/>
  <c r="I15" i="32"/>
  <c r="I17" i="32"/>
  <c r="H15" i="32"/>
  <c r="I12" i="32"/>
  <c r="H12" i="32"/>
  <c r="N16" i="33"/>
  <c r="M16" i="33"/>
  <c r="N15" i="33"/>
  <c r="N17" i="33"/>
  <c r="M15" i="33"/>
  <c r="N12" i="33"/>
  <c r="M12" i="33"/>
  <c r="H12" i="33"/>
  <c r="I12" i="33"/>
  <c r="H15" i="33"/>
  <c r="I15" i="33"/>
  <c r="H16" i="33"/>
  <c r="I16" i="33"/>
  <c r="I17" i="33"/>
  <c r="D35" i="5"/>
  <c r="F64" i="1" s="1"/>
  <c r="C19" i="33"/>
  <c r="D14" i="6"/>
  <c r="F14" i="6"/>
  <c r="C43" i="1" a="1"/>
  <c r="C43" i="1"/>
  <c r="D11" i="6"/>
  <c r="F11" i="6"/>
  <c r="C26" i="33"/>
  <c r="D26" i="33"/>
  <c r="C25" i="32"/>
  <c r="D25" i="32"/>
  <c r="D13" i="6"/>
  <c r="F13" i="6"/>
  <c r="C24" i="34"/>
  <c r="D24" i="34"/>
  <c r="D37" i="5"/>
  <c r="F37" i="5"/>
  <c r="C16" i="40" s="1"/>
  <c r="D16" i="40" s="1"/>
  <c r="D19" i="40" s="1"/>
  <c r="C23" i="34"/>
  <c r="D23" i="34"/>
  <c r="D18" i="34"/>
  <c r="C18" i="34"/>
  <c r="D17" i="34"/>
  <c r="C17" i="34"/>
  <c r="D11" i="34"/>
  <c r="C11" i="34"/>
  <c r="D10" i="34"/>
  <c r="D12" i="34"/>
  <c r="C10" i="34"/>
  <c r="G64" i="1"/>
  <c r="H64" i="1" s="1"/>
  <c r="I64" i="1"/>
  <c r="J64" i="1"/>
  <c r="D36" i="5"/>
  <c r="F65" i="1" s="1"/>
  <c r="F35" i="5"/>
  <c r="F36" i="5"/>
  <c r="M11" i="44" s="1"/>
  <c r="N11" i="44" s="1"/>
  <c r="N13" i="44" s="1"/>
  <c r="D12" i="6"/>
  <c r="F12" i="6"/>
  <c r="D20" i="33"/>
  <c r="C20" i="33"/>
  <c r="C20" i="32"/>
  <c r="C18" i="32"/>
  <c r="D18" i="32"/>
  <c r="C17" i="32"/>
  <c r="D17" i="32"/>
  <c r="C20" i="28"/>
  <c r="D20" i="28"/>
  <c r="C21" i="28"/>
  <c r="D21" i="28"/>
  <c r="C19" i="22"/>
  <c r="D19" i="22"/>
  <c r="C20" i="31"/>
  <c r="D20" i="31"/>
  <c r="D26" i="31"/>
  <c r="C26" i="31"/>
  <c r="D25" i="30"/>
  <c r="C25" i="30"/>
  <c r="D11" i="30"/>
  <c r="C11" i="30"/>
  <c r="D25" i="29"/>
  <c r="C25" i="29"/>
  <c r="C19" i="29"/>
  <c r="D19" i="29"/>
  <c r="C18" i="29"/>
  <c r="D18" i="29"/>
  <c r="D27" i="28"/>
  <c r="C27" i="28"/>
  <c r="D24" i="27"/>
  <c r="C24" i="27"/>
  <c r="D24" i="26"/>
  <c r="C24" i="26"/>
  <c r="D24" i="25"/>
  <c r="C24" i="25"/>
  <c r="D11" i="25"/>
  <c r="C11" i="25"/>
  <c r="D24" i="24"/>
  <c r="C24" i="24"/>
  <c r="D24" i="23"/>
  <c r="C24" i="23"/>
  <c r="D25" i="22"/>
  <c r="C25" i="22"/>
  <c r="C24" i="19"/>
  <c r="C24" i="18"/>
  <c r="C24" i="17"/>
  <c r="C24" i="15"/>
  <c r="C24" i="16"/>
  <c r="C24" i="14"/>
  <c r="C11" i="7"/>
  <c r="D11" i="7"/>
  <c r="D4" i="6"/>
  <c r="F4" i="6"/>
  <c r="D5" i="6"/>
  <c r="F5" i="6"/>
  <c r="D6" i="6"/>
  <c r="F6" i="6"/>
  <c r="C22" i="27"/>
  <c r="D22" i="27"/>
  <c r="D7" i="6"/>
  <c r="F7" i="6"/>
  <c r="D8" i="6"/>
  <c r="F8" i="6"/>
  <c r="C23" i="61" s="1"/>
  <c r="D23" i="61" s="1"/>
  <c r="D9" i="6"/>
  <c r="F9" i="6"/>
  <c r="D10" i="6"/>
  <c r="F10" i="6"/>
  <c r="C16" i="45" s="1"/>
  <c r="D16" i="45" s="1"/>
  <c r="D18" i="45" s="1"/>
  <c r="D33" i="5"/>
  <c r="F33" i="5"/>
  <c r="C16" i="32"/>
  <c r="D16" i="32"/>
  <c r="D34" i="5"/>
  <c r="F34" i="5"/>
  <c r="C18" i="42" s="1"/>
  <c r="D18" i="42" s="1"/>
  <c r="D21" i="42" s="1"/>
  <c r="D11" i="21"/>
  <c r="C11" i="21"/>
  <c r="D32" i="5"/>
  <c r="F32" i="5"/>
  <c r="D24" i="19"/>
  <c r="D11" i="19"/>
  <c r="C11" i="19"/>
  <c r="D24" i="18"/>
  <c r="D11" i="18"/>
  <c r="C11" i="18"/>
  <c r="D24" i="17"/>
  <c r="D11" i="17"/>
  <c r="C11" i="17"/>
  <c r="D24" i="16"/>
  <c r="D11" i="16"/>
  <c r="C11" i="16"/>
  <c r="D24" i="15"/>
  <c r="D11" i="15"/>
  <c r="C11" i="15"/>
  <c r="D24" i="14"/>
  <c r="D11" i="14"/>
  <c r="C11" i="14"/>
  <c r="D11" i="13"/>
  <c r="C11" i="13"/>
  <c r="D4" i="5"/>
  <c r="F55" i="1" s="1"/>
  <c r="G55" i="1" s="1"/>
  <c r="H55" i="1" s="1"/>
  <c r="D5" i="5"/>
  <c r="D6" i="5"/>
  <c r="D7" i="5"/>
  <c r="F56" i="1" s="1"/>
  <c r="D8" i="5"/>
  <c r="D9" i="5"/>
  <c r="D10" i="5"/>
  <c r="D11" i="5"/>
  <c r="D12" i="5"/>
  <c r="F61" i="1" s="1"/>
  <c r="D13" i="5"/>
  <c r="F59" i="1" s="1"/>
  <c r="D14" i="5"/>
  <c r="D15" i="5"/>
  <c r="F63" i="1" s="1"/>
  <c r="D16" i="5"/>
  <c r="D17" i="5"/>
  <c r="D18" i="5"/>
  <c r="D19" i="5"/>
  <c r="D20" i="5"/>
  <c r="D21" i="5"/>
  <c r="D22" i="5"/>
  <c r="D23" i="5"/>
  <c r="D24" i="5"/>
  <c r="D25" i="5"/>
  <c r="D26" i="5"/>
  <c r="D27" i="5"/>
  <c r="F57" i="1" s="1"/>
  <c r="D28" i="5"/>
  <c r="D29" i="5"/>
  <c r="D30" i="5"/>
  <c r="F62" i="1" s="1"/>
  <c r="D31" i="5"/>
  <c r="F60" i="1" s="1"/>
  <c r="C18" i="3"/>
  <c r="D18" i="3"/>
  <c r="C11" i="3"/>
  <c r="D11" i="3"/>
  <c r="C24" i="1" a="1"/>
  <c r="C19" i="1" a="1"/>
  <c r="C27" i="1" a="1"/>
  <c r="C17" i="1" a="1"/>
  <c r="C15" i="1" a="1"/>
  <c r="C21" i="1" a="1"/>
  <c r="C10" i="1" a="1"/>
  <c r="C35" i="1" a="1"/>
  <c r="C26" i="1" a="1"/>
  <c r="C28" i="1" a="1"/>
  <c r="C11" i="1" a="1"/>
  <c r="C39" i="1" a="1"/>
  <c r="C29" i="1" a="1"/>
  <c r="C22" i="1" a="1"/>
  <c r="C18" i="1" a="1"/>
  <c r="C14" i="1" a="1"/>
  <c r="C13" i="1" a="1"/>
  <c r="C16" i="1" a="1"/>
  <c r="C12" i="1" a="1"/>
  <c r="C4" i="10" a="1"/>
  <c r="C23" i="1" a="1"/>
  <c r="C20" i="1" a="1"/>
  <c r="AC13" i="34"/>
  <c r="C16" i="34"/>
  <c r="D16" i="34"/>
  <c r="D19" i="34"/>
  <c r="C18" i="33"/>
  <c r="D18" i="33"/>
  <c r="H11" i="34"/>
  <c r="I11" i="34"/>
  <c r="I13" i="34"/>
  <c r="M11" i="32"/>
  <c r="N11" i="32"/>
  <c r="N13" i="32"/>
  <c r="M11" i="33"/>
  <c r="N11" i="33"/>
  <c r="N13" i="33"/>
  <c r="H11" i="32"/>
  <c r="I11" i="32"/>
  <c r="I13" i="32"/>
  <c r="H11" i="33"/>
  <c r="I11" i="33"/>
  <c r="I13" i="33"/>
  <c r="C24" i="33"/>
  <c r="D24" i="33"/>
  <c r="C23" i="32"/>
  <c r="D23" i="32"/>
  <c r="C22" i="34"/>
  <c r="D22" i="34"/>
  <c r="D25" i="34"/>
  <c r="B6" i="34"/>
  <c r="C25" i="33"/>
  <c r="D25" i="33"/>
  <c r="C24" i="32"/>
  <c r="D24" i="32"/>
  <c r="C23" i="16"/>
  <c r="D23" i="16"/>
  <c r="C23" i="27"/>
  <c r="D23" i="27"/>
  <c r="C23" i="25"/>
  <c r="D23" i="25"/>
  <c r="C23" i="24"/>
  <c r="D23" i="24"/>
  <c r="C23" i="23"/>
  <c r="D23" i="23"/>
  <c r="C24" i="22"/>
  <c r="D24" i="22"/>
  <c r="C6" i="34"/>
  <c r="D6" i="34"/>
  <c r="D43" i="1" a="1"/>
  <c r="D43" i="1"/>
  <c r="E43" i="1"/>
  <c r="F43" i="1"/>
  <c r="C39" i="1"/>
  <c r="C35" i="1"/>
  <c r="G65" i="1"/>
  <c r="H65" i="1" s="1"/>
  <c r="I65" i="1"/>
  <c r="J65" i="1"/>
  <c r="D25" i="27"/>
  <c r="C22" i="25"/>
  <c r="D22" i="25"/>
  <c r="D25" i="25"/>
  <c r="C22" i="26"/>
  <c r="D22" i="26"/>
  <c r="C23" i="30"/>
  <c r="D23" i="30"/>
  <c r="C23" i="26"/>
  <c r="D23" i="26"/>
  <c r="C24" i="30"/>
  <c r="D24" i="30"/>
  <c r="C24" i="31"/>
  <c r="D24" i="31"/>
  <c r="C25" i="28"/>
  <c r="D25" i="28"/>
  <c r="C23" i="29"/>
  <c r="D23" i="29"/>
  <c r="C25" i="31"/>
  <c r="D25" i="31"/>
  <c r="C23" i="22"/>
  <c r="D23" i="22"/>
  <c r="D26" i="22"/>
  <c r="C22" i="23"/>
  <c r="D22" i="23"/>
  <c r="D25" i="23"/>
  <c r="C22" i="24"/>
  <c r="D22" i="24"/>
  <c r="D25" i="24"/>
  <c r="C26" i="28"/>
  <c r="D26" i="28"/>
  <c r="D28" i="28"/>
  <c r="C24" i="29"/>
  <c r="D24" i="29"/>
  <c r="D19" i="32"/>
  <c r="C28" i="1"/>
  <c r="D27" i="31"/>
  <c r="C26" i="1"/>
  <c r="C24" i="1"/>
  <c r="C27" i="1"/>
  <c r="C23" i="1"/>
  <c r="C22" i="1"/>
  <c r="C21" i="1"/>
  <c r="C20" i="1"/>
  <c r="C19" i="1"/>
  <c r="C18" i="1"/>
  <c r="C29" i="1"/>
  <c r="C17" i="1"/>
  <c r="C16" i="1"/>
  <c r="C15" i="1"/>
  <c r="C14" i="1"/>
  <c r="C13" i="1"/>
  <c r="C23" i="14"/>
  <c r="D23" i="14"/>
  <c r="C22" i="15"/>
  <c r="D22" i="15"/>
  <c r="C22" i="21"/>
  <c r="D22" i="21"/>
  <c r="C22" i="19"/>
  <c r="D22" i="19"/>
  <c r="C22" i="3"/>
  <c r="D22" i="3"/>
  <c r="C22" i="16"/>
  <c r="D22" i="16"/>
  <c r="C22" i="18"/>
  <c r="D22" i="18"/>
  <c r="C22" i="17"/>
  <c r="D22" i="17"/>
  <c r="C22" i="14"/>
  <c r="D22" i="14"/>
  <c r="C22" i="13"/>
  <c r="D22" i="13"/>
  <c r="C23" i="13"/>
  <c r="D23" i="13"/>
  <c r="C23" i="17"/>
  <c r="D23" i="17"/>
  <c r="C23" i="18"/>
  <c r="D23" i="18"/>
  <c r="C23" i="3"/>
  <c r="D23" i="3"/>
  <c r="C23" i="21"/>
  <c r="D23" i="21"/>
  <c r="C23" i="15"/>
  <c r="D23" i="15"/>
  <c r="C23" i="19"/>
  <c r="D23" i="19"/>
  <c r="D25" i="16"/>
  <c r="D25" i="14"/>
  <c r="G62" i="1"/>
  <c r="H62" i="1" s="1"/>
  <c r="I62" i="1"/>
  <c r="J62" i="1"/>
  <c r="C12" i="1"/>
  <c r="C11" i="1"/>
  <c r="C10" i="1"/>
  <c r="G63" i="1"/>
  <c r="H63" i="1" s="1"/>
  <c r="I63" i="1"/>
  <c r="J63" i="1"/>
  <c r="C4" i="10"/>
  <c r="F4" i="5"/>
  <c r="C10" i="41" s="1"/>
  <c r="D10" i="41" s="1"/>
  <c r="F7" i="5"/>
  <c r="W12" i="40" s="1"/>
  <c r="X12" i="40" s="1"/>
  <c r="W12" i="34"/>
  <c r="X12" i="34"/>
  <c r="X13" i="34"/>
  <c r="F13" i="5"/>
  <c r="F15" i="5"/>
  <c r="F16" i="5"/>
  <c r="C18" i="26"/>
  <c r="D18" i="26"/>
  <c r="F17" i="5"/>
  <c r="C18" i="24"/>
  <c r="D18" i="24"/>
  <c r="F18" i="5"/>
  <c r="C18" i="59" s="1"/>
  <c r="D18" i="59" s="1"/>
  <c r="C18" i="23"/>
  <c r="D18" i="23"/>
  <c r="F19" i="5"/>
  <c r="C18" i="15"/>
  <c r="D18" i="15"/>
  <c r="F20" i="5"/>
  <c r="C16" i="60" s="1"/>
  <c r="D16" i="60" s="1"/>
  <c r="C18" i="14"/>
  <c r="D18" i="14"/>
  <c r="F21" i="5"/>
  <c r="C18" i="17"/>
  <c r="D18" i="17"/>
  <c r="F22" i="5"/>
  <c r="F23" i="5"/>
  <c r="C18" i="16"/>
  <c r="D18" i="16"/>
  <c r="F24" i="5"/>
  <c r="C18" i="18"/>
  <c r="D18" i="18"/>
  <c r="F27" i="5"/>
  <c r="F30" i="5"/>
  <c r="F5" i="5"/>
  <c r="F6" i="5"/>
  <c r="C9" i="11"/>
  <c r="D9" i="11"/>
  <c r="F8" i="5"/>
  <c r="C18" i="63" s="1"/>
  <c r="D18" i="63" s="1"/>
  <c r="F9" i="5"/>
  <c r="C17" i="57" s="1"/>
  <c r="D17" i="57" s="1"/>
  <c r="F10" i="5"/>
  <c r="C10" i="11"/>
  <c r="D10" i="11"/>
  <c r="F11" i="5"/>
  <c r="F12" i="5"/>
  <c r="F14" i="5"/>
  <c r="F25" i="5"/>
  <c r="C9" i="12"/>
  <c r="D9" i="12"/>
  <c r="F26" i="5"/>
  <c r="C9" i="8"/>
  <c r="D9" i="8"/>
  <c r="D10" i="8"/>
  <c r="A5" i="8"/>
  <c r="B5" i="35" s="1" a="1"/>
  <c r="B5" i="35" s="1"/>
  <c r="D5" i="35" s="1"/>
  <c r="F28" i="5"/>
  <c r="C9" i="7"/>
  <c r="D9" i="7"/>
  <c r="F29" i="5"/>
  <c r="C10" i="7"/>
  <c r="F31" i="5"/>
  <c r="R12" i="40" s="1"/>
  <c r="S12" i="40" s="1"/>
  <c r="R12" i="34"/>
  <c r="S12" i="34"/>
  <c r="S13" i="34"/>
  <c r="C5" i="10" a="1"/>
  <c r="C7" i="10" a="1"/>
  <c r="C8" i="10" a="1"/>
  <c r="C6" i="10" a="1"/>
  <c r="B5" i="10" a="1"/>
  <c r="C18" i="22"/>
  <c r="D18" i="22"/>
  <c r="C18" i="25"/>
  <c r="D18" i="25"/>
  <c r="C19" i="28"/>
  <c r="D19" i="28"/>
  <c r="C18" i="31"/>
  <c r="D18" i="31"/>
  <c r="C18" i="30"/>
  <c r="D18" i="30"/>
  <c r="C17" i="30"/>
  <c r="D17" i="30"/>
  <c r="C17" i="29"/>
  <c r="D17" i="29"/>
  <c r="C17" i="28"/>
  <c r="D17" i="28"/>
  <c r="C17" i="25"/>
  <c r="D17" i="25"/>
  <c r="C17" i="24"/>
  <c r="D17" i="24"/>
  <c r="C17" i="27"/>
  <c r="D17" i="27"/>
  <c r="C17" i="22"/>
  <c r="D17" i="22"/>
  <c r="C17" i="31"/>
  <c r="D17" i="31"/>
  <c r="C17" i="26"/>
  <c r="D17" i="26"/>
  <c r="C17" i="23"/>
  <c r="D17" i="23"/>
  <c r="D19" i="33"/>
  <c r="C16" i="21"/>
  <c r="D16" i="21"/>
  <c r="C16" i="22"/>
  <c r="D16" i="22"/>
  <c r="C16" i="26"/>
  <c r="D16" i="26"/>
  <c r="C16" i="23"/>
  <c r="D16" i="23"/>
  <c r="C16" i="30"/>
  <c r="D16" i="30"/>
  <c r="C16" i="29"/>
  <c r="D16" i="29"/>
  <c r="D20" i="29"/>
  <c r="C16" i="28"/>
  <c r="D16" i="28"/>
  <c r="C16" i="25"/>
  <c r="D16" i="25"/>
  <c r="D19" i="25"/>
  <c r="C16" i="24"/>
  <c r="D16" i="24"/>
  <c r="D19" i="24"/>
  <c r="C16" i="27"/>
  <c r="D16" i="27"/>
  <c r="C16" i="31"/>
  <c r="D16" i="31"/>
  <c r="C18" i="28"/>
  <c r="D18" i="28"/>
  <c r="C19" i="31"/>
  <c r="D19" i="31"/>
  <c r="C19" i="30"/>
  <c r="D19" i="30"/>
  <c r="D26" i="29"/>
  <c r="D25" i="18"/>
  <c r="D26" i="30"/>
  <c r="D27" i="33"/>
  <c r="D26" i="32"/>
  <c r="D25" i="26"/>
  <c r="D25" i="15"/>
  <c r="D25" i="17"/>
  <c r="C9" i="9"/>
  <c r="D9" i="9"/>
  <c r="D10" i="9"/>
  <c r="A5" i="9"/>
  <c r="B6" i="35" s="1" a="1"/>
  <c r="B6" i="35" s="1"/>
  <c r="D6" i="35" s="1"/>
  <c r="C18" i="27"/>
  <c r="D18" i="27"/>
  <c r="D25" i="19"/>
  <c r="C8" i="10"/>
  <c r="G61" i="1"/>
  <c r="H61" i="1" s="1"/>
  <c r="I61" i="1"/>
  <c r="J61" i="1"/>
  <c r="C17" i="3"/>
  <c r="D17" i="3"/>
  <c r="C17" i="19"/>
  <c r="D17" i="19"/>
  <c r="C17" i="18"/>
  <c r="D17" i="18"/>
  <c r="C17" i="17"/>
  <c r="D17" i="17"/>
  <c r="C17" i="13"/>
  <c r="D17" i="13"/>
  <c r="C17" i="15"/>
  <c r="D17" i="15"/>
  <c r="C17" i="14"/>
  <c r="D17" i="14"/>
  <c r="C17" i="16"/>
  <c r="D17" i="16"/>
  <c r="C18" i="13"/>
  <c r="D18" i="13"/>
  <c r="C18" i="19"/>
  <c r="D18" i="19"/>
  <c r="C16" i="3"/>
  <c r="D16" i="3"/>
  <c r="C16" i="15"/>
  <c r="D16" i="15"/>
  <c r="C16" i="14"/>
  <c r="D16" i="14"/>
  <c r="C16" i="19"/>
  <c r="D16" i="19"/>
  <c r="C16" i="18"/>
  <c r="D16" i="18"/>
  <c r="C16" i="17"/>
  <c r="D16" i="17"/>
  <c r="C16" i="16"/>
  <c r="D16" i="16"/>
  <c r="C16" i="13"/>
  <c r="D16" i="13"/>
  <c r="G57" i="1"/>
  <c r="H57" i="1" s="1"/>
  <c r="I57" i="1"/>
  <c r="J57" i="1"/>
  <c r="G60" i="1"/>
  <c r="H60" i="1" s="1"/>
  <c r="I60" i="1"/>
  <c r="J60" i="1"/>
  <c r="G59" i="1"/>
  <c r="H59" i="1" s="1"/>
  <c r="I59" i="1"/>
  <c r="J59" i="1"/>
  <c r="C7" i="10"/>
  <c r="F58" i="1"/>
  <c r="D10" i="12"/>
  <c r="A5" i="12"/>
  <c r="B7" i="35" s="1" a="1"/>
  <c r="B7" i="35" s="1"/>
  <c r="D7" i="35" s="1"/>
  <c r="D11" i="11"/>
  <c r="A5" i="11"/>
  <c r="B8" i="35" s="1" a="1"/>
  <c r="B8" i="35" s="1"/>
  <c r="D8" i="35" s="1"/>
  <c r="C6" i="10"/>
  <c r="C5" i="10"/>
  <c r="B5" i="10"/>
  <c r="D10" i="7"/>
  <c r="D12" i="7"/>
  <c r="A5" i="7"/>
  <c r="B4" i="35" s="1" a="1"/>
  <c r="B4" i="35" s="1"/>
  <c r="D4" i="35" s="1"/>
  <c r="B6" i="10" a="1"/>
  <c r="B7" i="10" a="1"/>
  <c r="B4" i="10" a="1"/>
  <c r="B8" i="10" a="1"/>
  <c r="D20" i="22"/>
  <c r="D19" i="23"/>
  <c r="D19" i="27"/>
  <c r="D19" i="26"/>
  <c r="D20" i="30"/>
  <c r="D21" i="33"/>
  <c r="AK6" i="40" s="1"/>
  <c r="AL6" i="40" s="1"/>
  <c r="AM6" i="40" s="1"/>
  <c r="D21" i="31"/>
  <c r="D22" i="28"/>
  <c r="B6" i="10"/>
  <c r="D6" i="10"/>
  <c r="C11" i="27"/>
  <c r="D11" i="27"/>
  <c r="B8" i="10"/>
  <c r="D8" i="10"/>
  <c r="D19" i="13"/>
  <c r="D19" i="15"/>
  <c r="D19" i="16"/>
  <c r="D19" i="14"/>
  <c r="D19" i="18"/>
  <c r="D19" i="17"/>
  <c r="D19" i="19"/>
  <c r="B7" i="10"/>
  <c r="E58" i="1"/>
  <c r="D5" i="10"/>
  <c r="C16" i="51" s="1"/>
  <c r="D16" i="51" s="1"/>
  <c r="D18" i="51" s="1"/>
  <c r="B4" i="10"/>
  <c r="D19" i="3"/>
  <c r="C11" i="32"/>
  <c r="D11" i="32"/>
  <c r="C11" i="31"/>
  <c r="D11" i="31"/>
  <c r="C11" i="28"/>
  <c r="D11" i="28"/>
  <c r="C11" i="29"/>
  <c r="D11" i="29"/>
  <c r="C11" i="24"/>
  <c r="D11" i="24"/>
  <c r="C11" i="26"/>
  <c r="D11" i="26"/>
  <c r="C11" i="23"/>
  <c r="D11" i="23"/>
  <c r="C11" i="22"/>
  <c r="D11" i="22"/>
  <c r="G58" i="1"/>
  <c r="H58" i="1" s="1"/>
  <c r="I58" i="1"/>
  <c r="J58" i="1"/>
  <c r="D7" i="10"/>
  <c r="D4" i="10"/>
  <c r="C10" i="61" s="1"/>
  <c r="D10" i="61" s="1"/>
  <c r="D12" i="61" s="1"/>
  <c r="D14" i="33"/>
  <c r="C10" i="31"/>
  <c r="D10" i="31"/>
  <c r="D12" i="31"/>
  <c r="B6" i="31"/>
  <c r="D28" i="1" s="1" a="1"/>
  <c r="D28" i="1" s="1"/>
  <c r="C6" i="31"/>
  <c r="D6" i="31"/>
  <c r="C10" i="32"/>
  <c r="D10" i="32"/>
  <c r="D12" i="32"/>
  <c r="B6" i="32"/>
  <c r="C10" i="29"/>
  <c r="D10" i="29"/>
  <c r="D12" i="29"/>
  <c r="B6" i="29"/>
  <c r="D24" i="1" s="1" a="1"/>
  <c r="D24" i="1" s="1"/>
  <c r="C6" i="29"/>
  <c r="D6" i="29"/>
  <c r="C10" i="30"/>
  <c r="D10" i="30"/>
  <c r="D12" i="30"/>
  <c r="B6" i="30"/>
  <c r="D26" i="1" s="1" a="1"/>
  <c r="D26" i="1" s="1"/>
  <c r="C10" i="27"/>
  <c r="D10" i="27"/>
  <c r="D12" i="27"/>
  <c r="B6" i="27"/>
  <c r="D23" i="1" s="1" a="1"/>
  <c r="D23" i="1" s="1"/>
  <c r="C10" i="28"/>
  <c r="D10" i="28"/>
  <c r="D12" i="28"/>
  <c r="B6" i="28"/>
  <c r="D27" i="1" s="1" a="1"/>
  <c r="D27" i="1" s="1"/>
  <c r="C10" i="25"/>
  <c r="D10" i="25"/>
  <c r="D12" i="25"/>
  <c r="B6" i="25"/>
  <c r="D21" i="1" s="1" a="1"/>
  <c r="D21" i="1" s="1"/>
  <c r="C10" i="26"/>
  <c r="D10" i="26"/>
  <c r="D12" i="26"/>
  <c r="B6" i="26"/>
  <c r="D22" i="1" s="1" a="1"/>
  <c r="D22" i="1" s="1"/>
  <c r="C10" i="23"/>
  <c r="D10" i="23"/>
  <c r="D12" i="23"/>
  <c r="B6" i="23"/>
  <c r="D18" i="1" s="1" a="1"/>
  <c r="D18" i="1" s="1"/>
  <c r="C6" i="23"/>
  <c r="D6" i="23"/>
  <c r="C10" i="24"/>
  <c r="D10" i="24"/>
  <c r="D12" i="24"/>
  <c r="B6" i="24"/>
  <c r="D20" i="1" s="1" a="1"/>
  <c r="D20" i="1" s="1"/>
  <c r="C10" i="21"/>
  <c r="D10" i="21"/>
  <c r="D12" i="21"/>
  <c r="C10" i="22"/>
  <c r="D10" i="22"/>
  <c r="D12" i="22"/>
  <c r="B6" i="22"/>
  <c r="D19" i="1" s="1" a="1"/>
  <c r="D19" i="1" s="1"/>
  <c r="C10" i="18"/>
  <c r="D10" i="18"/>
  <c r="D12" i="18"/>
  <c r="B6" i="18"/>
  <c r="D16" i="1" s="1" a="1"/>
  <c r="D16" i="1" s="1"/>
  <c r="C10" i="19"/>
  <c r="D10" i="19"/>
  <c r="D12" i="19"/>
  <c r="B6" i="19"/>
  <c r="D17" i="1" s="1" a="1"/>
  <c r="D17" i="1" s="1"/>
  <c r="C10" i="16"/>
  <c r="D10" i="16"/>
  <c r="D12" i="16"/>
  <c r="B6" i="16"/>
  <c r="D14" i="1" s="1" a="1"/>
  <c r="D14" i="1" s="1"/>
  <c r="C10" i="17"/>
  <c r="D10" i="17"/>
  <c r="D12" i="17"/>
  <c r="B6" i="17"/>
  <c r="D15" i="1" s="1" a="1"/>
  <c r="D15" i="1" s="1"/>
  <c r="C10" i="14"/>
  <c r="D10" i="14"/>
  <c r="D12" i="14"/>
  <c r="B6" i="14"/>
  <c r="D12" i="1" s="1" a="1"/>
  <c r="D12" i="1" s="1"/>
  <c r="C6" i="14"/>
  <c r="D6" i="14"/>
  <c r="C10" i="15"/>
  <c r="D10" i="15"/>
  <c r="D12" i="15"/>
  <c r="B6" i="15"/>
  <c r="D13" i="1" s="1" a="1"/>
  <c r="D13" i="1" s="1"/>
  <c r="C10" i="3"/>
  <c r="D10" i="3"/>
  <c r="D12" i="3"/>
  <c r="C10" i="13"/>
  <c r="D10" i="13"/>
  <c r="D12" i="13"/>
  <c r="G56" i="1"/>
  <c r="H56" i="1" s="1"/>
  <c r="D35" i="1" a="1"/>
  <c r="AF6" i="34"/>
  <c r="AG6" i="34"/>
  <c r="AH6" i="34"/>
  <c r="AA6" i="34"/>
  <c r="AB6" i="34"/>
  <c r="AC6" i="34"/>
  <c r="V6" i="34"/>
  <c r="W6" i="34"/>
  <c r="X6" i="34"/>
  <c r="Q6" i="34"/>
  <c r="R6" i="34"/>
  <c r="S6" i="34"/>
  <c r="L6" i="34"/>
  <c r="M6" i="34"/>
  <c r="N6" i="34"/>
  <c r="G6" i="34"/>
  <c r="H6" i="34"/>
  <c r="I6" i="34"/>
  <c r="L6" i="32"/>
  <c r="M6" i="32"/>
  <c r="N6" i="32"/>
  <c r="G6" i="32"/>
  <c r="H6" i="32"/>
  <c r="I6" i="32"/>
  <c r="L6" i="33"/>
  <c r="M6" i="33"/>
  <c r="N6" i="33"/>
  <c r="G6" i="33"/>
  <c r="H6" i="33"/>
  <c r="I6" i="33"/>
  <c r="B6" i="33"/>
  <c r="D39" i="1" a="1"/>
  <c r="D39" i="1"/>
  <c r="C11" i="36" s="1"/>
  <c r="D11" i="38"/>
  <c r="C6" i="33"/>
  <c r="D6" i="33"/>
  <c r="D35" i="1"/>
  <c r="C11" i="37" s="1"/>
  <c r="E35" i="1"/>
  <c r="F35" i="1"/>
  <c r="C6" i="32"/>
  <c r="D6" i="32"/>
  <c r="C6" i="30"/>
  <c r="D6" i="30"/>
  <c r="C6" i="28"/>
  <c r="D6" i="28"/>
  <c r="C6" i="27"/>
  <c r="D6" i="27"/>
  <c r="C6" i="26"/>
  <c r="D6" i="26"/>
  <c r="C6" i="25"/>
  <c r="D6" i="25"/>
  <c r="C6" i="24"/>
  <c r="D6" i="24"/>
  <c r="C6" i="22"/>
  <c r="D6" i="22"/>
  <c r="C6" i="19"/>
  <c r="D6" i="19"/>
  <c r="C6" i="18"/>
  <c r="D6" i="18"/>
  <c r="C6" i="16"/>
  <c r="D6" i="16"/>
  <c r="C6" i="15"/>
  <c r="D6" i="15"/>
  <c r="C6" i="17"/>
  <c r="D6" i="17"/>
  <c r="I56" i="1"/>
  <c r="J56" i="1"/>
  <c r="D11" i="37"/>
  <c r="E39" i="1"/>
  <c r="F39" i="1"/>
  <c r="D11" i="36"/>
  <c r="C16" i="61" l="1"/>
  <c r="D16" i="61" s="1"/>
  <c r="C16" i="63"/>
  <c r="D16" i="63" s="1"/>
  <c r="M12" i="40"/>
  <c r="N12" i="40" s="1"/>
  <c r="C17" i="63"/>
  <c r="D17" i="63" s="1"/>
  <c r="I55" i="1"/>
  <c r="J55" i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7" i="1"/>
  <c r="F27" i="1" s="1"/>
  <c r="E24" i="1"/>
  <c r="F24" i="1" s="1"/>
  <c r="E26" i="1"/>
  <c r="F26" i="1" s="1"/>
  <c r="E28" i="1"/>
  <c r="F28" i="1" s="1"/>
  <c r="H11" i="44"/>
  <c r="I11" i="44" s="1"/>
  <c r="I13" i="44" s="1"/>
  <c r="C17" i="62"/>
  <c r="D17" i="62" s="1"/>
  <c r="D19" i="62"/>
  <c r="D25" i="61"/>
  <c r="C18" i="61"/>
  <c r="D18" i="61" s="1"/>
  <c r="C18" i="60"/>
  <c r="D18" i="60" s="1"/>
  <c r="M11" i="40"/>
  <c r="N11" i="40" s="1"/>
  <c r="N13" i="40" s="1"/>
  <c r="M11" i="62"/>
  <c r="N11" i="62" s="1"/>
  <c r="N13" i="62" s="1"/>
  <c r="L6" i="62" s="1"/>
  <c r="M6" i="62" s="1"/>
  <c r="N6" i="62" s="1"/>
  <c r="H11" i="40"/>
  <c r="I11" i="40" s="1"/>
  <c r="H11" i="62"/>
  <c r="I11" i="62" s="1"/>
  <c r="I13" i="62" s="1"/>
  <c r="G6" i="62" s="1"/>
  <c r="H6" i="62" s="1"/>
  <c r="I6" i="62" s="1"/>
  <c r="W11" i="40"/>
  <c r="X11" i="40" s="1"/>
  <c r="W11" i="62"/>
  <c r="X11" i="62" s="1"/>
  <c r="X13" i="62" s="1"/>
  <c r="V6" i="62" s="1"/>
  <c r="W6" i="62" s="1"/>
  <c r="X6" i="62" s="1"/>
  <c r="R11" i="40"/>
  <c r="S11" i="40" s="1"/>
  <c r="R11" i="62"/>
  <c r="S11" i="62" s="1"/>
  <c r="S13" i="62" s="1"/>
  <c r="Q6" i="62" s="1"/>
  <c r="R6" i="62" s="1"/>
  <c r="S6" i="62" s="1"/>
  <c r="C17" i="61"/>
  <c r="D17" i="61" s="1"/>
  <c r="D19" i="61" s="1"/>
  <c r="B6" i="61" s="1"/>
  <c r="C6" i="61" s="1"/>
  <c r="D6" i="61" s="1"/>
  <c r="C17" i="60"/>
  <c r="D17" i="60" s="1"/>
  <c r="D19" i="60" s="1"/>
  <c r="C24" i="21"/>
  <c r="D24" i="21" s="1"/>
  <c r="D25" i="21" s="1"/>
  <c r="C23" i="60"/>
  <c r="D23" i="60" s="1"/>
  <c r="C23" i="56"/>
  <c r="D23" i="56" s="1"/>
  <c r="C23" i="55"/>
  <c r="D23" i="55" s="1"/>
  <c r="C23" i="54"/>
  <c r="D23" i="54" s="1"/>
  <c r="C22" i="46"/>
  <c r="D22" i="46" s="1"/>
  <c r="C23" i="57"/>
  <c r="D23" i="57" s="1"/>
  <c r="C23" i="46"/>
  <c r="D23" i="46" s="1"/>
  <c r="C24" i="57"/>
  <c r="D24" i="57" s="1"/>
  <c r="C22" i="56"/>
  <c r="D22" i="56" s="1"/>
  <c r="D25" i="56" s="1"/>
  <c r="C22" i="55"/>
  <c r="D22" i="55" s="1"/>
  <c r="D25" i="55" s="1"/>
  <c r="C22" i="54"/>
  <c r="D22" i="54" s="1"/>
  <c r="D25" i="54" s="1"/>
  <c r="C23" i="59"/>
  <c r="D23" i="59" s="1"/>
  <c r="C23" i="58"/>
  <c r="D23" i="58" s="1"/>
  <c r="C23" i="48"/>
  <c r="D23" i="48" s="1"/>
  <c r="C23" i="47"/>
  <c r="D23" i="47" s="1"/>
  <c r="C22" i="59"/>
  <c r="D22" i="59" s="1"/>
  <c r="D25" i="59" s="1"/>
  <c r="C22" i="58"/>
  <c r="D22" i="58" s="1"/>
  <c r="D25" i="58" s="1"/>
  <c r="C22" i="48"/>
  <c r="D22" i="48" s="1"/>
  <c r="D25" i="48" s="1"/>
  <c r="C22" i="47"/>
  <c r="D22" i="47" s="1"/>
  <c r="D25" i="47" s="1"/>
  <c r="D25" i="60"/>
  <c r="C18" i="58"/>
  <c r="D18" i="58" s="1"/>
  <c r="C11" i="51"/>
  <c r="D11" i="51" s="1"/>
  <c r="C16" i="46"/>
  <c r="D16" i="46" s="1"/>
  <c r="C16" i="57"/>
  <c r="D16" i="57" s="1"/>
  <c r="D20" i="57" s="1"/>
  <c r="C16" i="56"/>
  <c r="D16" i="56" s="1"/>
  <c r="D19" i="56" s="1"/>
  <c r="C16" i="55"/>
  <c r="D16" i="55" s="1"/>
  <c r="D19" i="55" s="1"/>
  <c r="C16" i="54"/>
  <c r="D16" i="54" s="1"/>
  <c r="D19" i="54" s="1"/>
  <c r="C9" i="51"/>
  <c r="D9" i="51" s="1"/>
  <c r="C9" i="50"/>
  <c r="D9" i="50" s="1"/>
  <c r="C9" i="49"/>
  <c r="D9" i="49" s="1"/>
  <c r="C17" i="59"/>
  <c r="D17" i="59" s="1"/>
  <c r="C17" i="58"/>
  <c r="D17" i="58" s="1"/>
  <c r="C10" i="51"/>
  <c r="D10" i="51" s="1"/>
  <c r="C10" i="50"/>
  <c r="D10" i="50" s="1"/>
  <c r="C10" i="49"/>
  <c r="D10" i="49" s="1"/>
  <c r="C16" i="59"/>
  <c r="D16" i="59" s="1"/>
  <c r="D19" i="59" s="1"/>
  <c r="B6" i="59" s="1"/>
  <c r="C16" i="58"/>
  <c r="D16" i="58" s="1"/>
  <c r="D19" i="58" s="1"/>
  <c r="B6" i="58" s="1"/>
  <c r="C16" i="48"/>
  <c r="D16" i="48" s="1"/>
  <c r="C11" i="57"/>
  <c r="D11" i="57" s="1"/>
  <c r="C16" i="49"/>
  <c r="D16" i="49" s="1"/>
  <c r="D18" i="49" s="1"/>
  <c r="C10" i="57"/>
  <c r="D10" i="57" s="1"/>
  <c r="D12" i="57" s="1"/>
  <c r="C16" i="50"/>
  <c r="D16" i="50" s="1"/>
  <c r="D18" i="50" s="1"/>
  <c r="C18" i="48"/>
  <c r="D18" i="48" s="1"/>
  <c r="C18" i="47"/>
  <c r="D18" i="47" s="1"/>
  <c r="C17" i="48"/>
  <c r="D17" i="48" s="1"/>
  <c r="C17" i="47"/>
  <c r="D17" i="47" s="1"/>
  <c r="D19" i="48"/>
  <c r="B6" i="48" s="1"/>
  <c r="C16" i="47"/>
  <c r="D16" i="47" s="1"/>
  <c r="D19" i="47" s="1"/>
  <c r="B6" i="47" s="1"/>
  <c r="C24" i="13"/>
  <c r="D24" i="13" s="1"/>
  <c r="D25" i="13" s="1"/>
  <c r="B6" i="13" s="1"/>
  <c r="D11" i="1" s="1" a="1"/>
  <c r="D11" i="1" s="1"/>
  <c r="E11" i="1" s="1"/>
  <c r="F11" i="1" s="1"/>
  <c r="C24" i="3"/>
  <c r="D24" i="3" s="1"/>
  <c r="D25" i="3" s="1"/>
  <c r="B6" i="3" s="1"/>
  <c r="D10" i="1" s="1" a="1"/>
  <c r="D10" i="1" s="1"/>
  <c r="C10" i="45" s="1"/>
  <c r="C24" i="42"/>
  <c r="D24" i="42" s="1"/>
  <c r="C24" i="44"/>
  <c r="D24" i="44" s="1"/>
  <c r="C24" i="43"/>
  <c r="D24" i="43" s="1"/>
  <c r="C25" i="42"/>
  <c r="D25" i="42" s="1"/>
  <c r="C25" i="44"/>
  <c r="D25" i="44" s="1"/>
  <c r="C25" i="43"/>
  <c r="D25" i="43" s="1"/>
  <c r="C26" i="44"/>
  <c r="D26" i="44" s="1"/>
  <c r="C26" i="43"/>
  <c r="D26" i="43" s="1"/>
  <c r="C17" i="21"/>
  <c r="D17" i="21" s="1"/>
  <c r="D19" i="21" s="1"/>
  <c r="B6" i="21" s="1"/>
  <c r="C17" i="46"/>
  <c r="D17" i="46" s="1"/>
  <c r="D19" i="46"/>
  <c r="C18" i="44"/>
  <c r="D18" i="44" s="1"/>
  <c r="D21" i="44" s="1"/>
  <c r="C18" i="43"/>
  <c r="D18" i="43" s="1"/>
  <c r="D21" i="43" s="1"/>
  <c r="M11" i="42"/>
  <c r="N11" i="42" s="1"/>
  <c r="N13" i="42" s="1"/>
  <c r="M11" i="43"/>
  <c r="N11" i="43" s="1"/>
  <c r="N13" i="43" s="1"/>
  <c r="H11" i="42"/>
  <c r="I11" i="42" s="1"/>
  <c r="I13" i="42" s="1"/>
  <c r="H11" i="43"/>
  <c r="I11" i="43" s="1"/>
  <c r="I13" i="43" s="1"/>
  <c r="AB11" i="40"/>
  <c r="AC11" i="40" s="1"/>
  <c r="AG11" i="40"/>
  <c r="AH11" i="40" s="1"/>
  <c r="AB12" i="40"/>
  <c r="AC12" i="40" s="1"/>
  <c r="AG12" i="40"/>
  <c r="AH12" i="40" s="1"/>
  <c r="C16" i="39"/>
  <c r="D16" i="39" s="1"/>
  <c r="D18" i="39" s="1"/>
  <c r="C16" i="38"/>
  <c r="D16" i="38" s="1"/>
  <c r="D18" i="38" s="1"/>
  <c r="C16" i="37"/>
  <c r="D16" i="37" s="1"/>
  <c r="D18" i="37" s="1"/>
  <c r="C16" i="36"/>
  <c r="D16" i="36" s="1"/>
  <c r="D18" i="36" s="1"/>
  <c r="L6" i="40"/>
  <c r="M6" i="40" s="1"/>
  <c r="N6" i="40" s="1"/>
  <c r="I13" i="40"/>
  <c r="G6" i="40" s="1"/>
  <c r="H6" i="40" s="1"/>
  <c r="I6" i="40" s="1"/>
  <c r="X13" i="40"/>
  <c r="V6" i="40" s="1"/>
  <c r="W6" i="40" s="1"/>
  <c r="X6" i="40" s="1"/>
  <c r="S13" i="40"/>
  <c r="Q6" i="40" s="1"/>
  <c r="R6" i="40" s="1"/>
  <c r="S6" i="40" s="1"/>
  <c r="D12" i="41"/>
  <c r="A5" i="41" s="1"/>
  <c r="B9" i="10" s="1" a="1"/>
  <c r="B9" i="10" s="1"/>
  <c r="D9" i="10" s="1"/>
  <c r="C10" i="38" l="1"/>
  <c r="C10" i="39"/>
  <c r="C10" i="37"/>
  <c r="C10" i="36"/>
  <c r="D19" i="63"/>
  <c r="B6" i="63" s="1"/>
  <c r="C6" i="63" s="1"/>
  <c r="D6" i="63" s="1"/>
  <c r="C10" i="40"/>
  <c r="D10" i="40" s="1"/>
  <c r="C10" i="62"/>
  <c r="D10" i="62" s="1"/>
  <c r="D12" i="62" s="1"/>
  <c r="B6" i="62" s="1"/>
  <c r="C6" i="62" s="1"/>
  <c r="D6" i="62" s="1"/>
  <c r="D26" i="57"/>
  <c r="B6" i="57" s="1"/>
  <c r="D25" i="1" s="1" a="1"/>
  <c r="D25" i="1" s="1"/>
  <c r="E25" i="1" s="1"/>
  <c r="F25" i="1" s="1"/>
  <c r="D25" i="46"/>
  <c r="B6" i="46" s="1"/>
  <c r="C6" i="58"/>
  <c r="D6" i="58" s="1"/>
  <c r="D34" i="1" a="1"/>
  <c r="D34" i="1" s="1"/>
  <c r="E34" i="1" s="1"/>
  <c r="F34" i="1" s="1"/>
  <c r="C6" i="59"/>
  <c r="D6" i="59" s="1"/>
  <c r="D33" i="1" a="1"/>
  <c r="D33" i="1" s="1"/>
  <c r="E33" i="1" s="1"/>
  <c r="F33" i="1" s="1"/>
  <c r="D12" i="49"/>
  <c r="A5" i="49" s="1"/>
  <c r="B10" i="10" s="1" a="1"/>
  <c r="B10" i="10" s="1"/>
  <c r="D10" i="10" s="1"/>
  <c r="D12" i="50"/>
  <c r="A5" i="50" s="1"/>
  <c r="B11" i="10" s="1" a="1"/>
  <c r="B11" i="10" s="1"/>
  <c r="D11" i="10" s="1"/>
  <c r="D12" i="51"/>
  <c r="A5" i="51" s="1"/>
  <c r="B12" i="10" s="1" a="1"/>
  <c r="B12" i="10" s="1"/>
  <c r="D12" i="10" s="1"/>
  <c r="C6" i="48"/>
  <c r="D6" i="48" s="1"/>
  <c r="D32" i="1" a="1"/>
  <c r="D32" i="1" s="1"/>
  <c r="E32" i="1" s="1"/>
  <c r="F32" i="1" s="1"/>
  <c r="C6" i="47"/>
  <c r="D6" i="47" s="1"/>
  <c r="D31" i="1" a="1"/>
  <c r="D31" i="1" s="1"/>
  <c r="E31" i="1" s="1"/>
  <c r="F31" i="1" s="1"/>
  <c r="C6" i="46"/>
  <c r="D6" i="46" s="1"/>
  <c r="D30" i="1" a="1"/>
  <c r="D30" i="1" s="1"/>
  <c r="E30" i="1" s="1"/>
  <c r="F30" i="1" s="1"/>
  <c r="C6" i="57"/>
  <c r="D6" i="57" s="1"/>
  <c r="C10" i="54"/>
  <c r="D10" i="54" s="1"/>
  <c r="D12" i="54" s="1"/>
  <c r="B6" i="54" s="1"/>
  <c r="C10" i="55"/>
  <c r="D10" i="55" s="1"/>
  <c r="D12" i="55" s="1"/>
  <c r="B6" i="55" s="1"/>
  <c r="D27" i="43"/>
  <c r="D27" i="44"/>
  <c r="D27" i="42"/>
  <c r="C6" i="3"/>
  <c r="D6" i="3" s="1"/>
  <c r="C6" i="13"/>
  <c r="D6" i="13" s="1"/>
  <c r="D29" i="1" a="1"/>
  <c r="D29" i="1" s="1"/>
  <c r="E29" i="1" s="1"/>
  <c r="F29" i="1" s="1"/>
  <c r="C6" i="21"/>
  <c r="D6" i="21" s="1"/>
  <c r="D12" i="40"/>
  <c r="B6" i="40" s="1"/>
  <c r="C6" i="40"/>
  <c r="D6" i="40" s="1"/>
  <c r="D44" i="1" a="1"/>
  <c r="D44" i="1" s="1"/>
  <c r="C11" i="45" s="1"/>
  <c r="AH13" i="40"/>
  <c r="AF6" i="40" s="1"/>
  <c r="AG6" i="40" s="1"/>
  <c r="AH6" i="40" s="1"/>
  <c r="AC13" i="40"/>
  <c r="AA6" i="40" s="1"/>
  <c r="AB6" i="40" s="1"/>
  <c r="AC6" i="40" s="1"/>
  <c r="C10" i="56" l="1"/>
  <c r="D10" i="56" s="1"/>
  <c r="D12" i="56" s="1"/>
  <c r="B6" i="56" s="1"/>
  <c r="C10" i="60"/>
  <c r="D10" i="60" s="1"/>
  <c r="D12" i="60" s="1"/>
  <c r="B6" i="60" s="1"/>
  <c r="C6" i="60" s="1"/>
  <c r="D6" i="60" s="1"/>
  <c r="C6" i="55"/>
  <c r="D6" i="55" s="1"/>
  <c r="D37" i="1" a="1"/>
  <c r="D37" i="1" s="1"/>
  <c r="E37" i="1" s="1"/>
  <c r="F37" i="1" s="1"/>
  <c r="C6" i="54"/>
  <c r="D6" i="54" s="1"/>
  <c r="D36" i="1" a="1"/>
  <c r="D36" i="1" s="1"/>
  <c r="E36" i="1" s="1"/>
  <c r="F36" i="1" s="1"/>
  <c r="D10" i="45"/>
  <c r="D10" i="39"/>
  <c r="D12" i="39" s="1"/>
  <c r="B6" i="39" s="1"/>
  <c r="D10" i="37"/>
  <c r="D12" i="37" s="1"/>
  <c r="B6" i="37" s="1"/>
  <c r="D10" i="38"/>
  <c r="D12" i="38" s="1"/>
  <c r="B6" i="38" s="1"/>
  <c r="E10" i="1"/>
  <c r="F10" i="1" s="1"/>
  <c r="D10" i="36"/>
  <c r="D12" i="36" s="1"/>
  <c r="B6" i="36" s="1"/>
  <c r="L6" i="42"/>
  <c r="M6" i="42" s="1"/>
  <c r="N6" i="42" s="1"/>
  <c r="G6" i="42"/>
  <c r="H6" i="42" s="1"/>
  <c r="I6" i="42" s="1"/>
  <c r="B6" i="42"/>
  <c r="L6" i="44"/>
  <c r="M6" i="44" s="1"/>
  <c r="N6" i="44" s="1"/>
  <c r="G6" i="44"/>
  <c r="H6" i="44" s="1"/>
  <c r="I6" i="44" s="1"/>
  <c r="B6" i="44"/>
  <c r="L6" i="43"/>
  <c r="M6" i="43" s="1"/>
  <c r="N6" i="43" s="1"/>
  <c r="G6" i="43"/>
  <c r="H6" i="43" s="1"/>
  <c r="I6" i="43" s="1"/>
  <c r="B6" i="43"/>
  <c r="E44" i="1"/>
  <c r="F44" i="1" s="1"/>
  <c r="D11" i="45"/>
  <c r="D12" i="45" s="1"/>
  <c r="B6" i="45" s="1"/>
  <c r="C6" i="45" s="1"/>
  <c r="D6" i="45" s="1"/>
  <c r="C6" i="56" l="1"/>
  <c r="D6" i="56" s="1"/>
  <c r="D38" i="1" a="1"/>
  <c r="D38" i="1" s="1"/>
  <c r="E38" i="1" s="1"/>
  <c r="F38" i="1" s="1"/>
  <c r="C6" i="43"/>
  <c r="D6" i="43" s="1"/>
  <c r="D41" i="1" a="1"/>
  <c r="D41" i="1" s="1"/>
  <c r="E41" i="1" s="1"/>
  <c r="F41" i="1" s="1"/>
  <c r="C6" i="44"/>
  <c r="D6" i="44" s="1"/>
  <c r="D42" i="1" a="1"/>
  <c r="D42" i="1" s="1"/>
  <c r="E42" i="1" s="1"/>
  <c r="F42" i="1" s="1"/>
  <c r="C6" i="42"/>
  <c r="D6" i="42" s="1"/>
  <c r="D40" i="1" a="1"/>
  <c r="D40" i="1" s="1"/>
  <c r="E40" i="1" s="1"/>
  <c r="F40" i="1" s="1"/>
  <c r="D49" i="1" a="1"/>
  <c r="D49" i="1" s="1"/>
  <c r="E49" i="1" s="1"/>
  <c r="F49" i="1" s="1"/>
  <c r="C6" i="36"/>
  <c r="D6" i="36" s="1"/>
  <c r="C6" i="38"/>
  <c r="D6" i="38" s="1"/>
  <c r="D50" i="1" a="1"/>
  <c r="D50" i="1" s="1"/>
  <c r="E50" i="1" s="1"/>
  <c r="F50" i="1" s="1"/>
  <c r="C6" i="37"/>
  <c r="D6" i="37" s="1"/>
  <c r="D48" i="1" a="1"/>
  <c r="D48" i="1" s="1"/>
  <c r="E48" i="1" s="1"/>
  <c r="F48" i="1" s="1"/>
  <c r="C6" i="39"/>
  <c r="D6" i="39" s="1"/>
  <c r="D51" i="1" a="1"/>
  <c r="D51" i="1" s="1"/>
  <c r="E51" i="1" s="1"/>
  <c r="F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<sst xmlns="http://schemas.openxmlformats.org/spreadsheetml/2006/main" count="2034" uniqueCount="223">
  <si>
    <t>Summary Product Cost &amp; Profit</t>
  </si>
  <si>
    <t>*Make sure name dekat sini, sama dengan nama sheet.</t>
  </si>
  <si>
    <t>*Step sentiasa sama:</t>
  </si>
  <si>
    <t>1) Buat sheet baru</t>
  </si>
  <si>
    <t>2) Make sure nama sama</t>
  </si>
  <si>
    <t>3) Keyin kat table summary (depends, kalau tgh buat topping, then keyin kat summary Mixed Ingredients. Kalau tgh buat product, keyin kat sini)</t>
  </si>
  <si>
    <t>Drinks &amp; Snacks</t>
  </si>
  <si>
    <t>Name</t>
  </si>
  <si>
    <t>Sale Status</t>
  </si>
  <si>
    <t>Selling Price (RM)</t>
  </si>
  <si>
    <t>Total Cost (RM)</t>
  </si>
  <si>
    <t>Gross Profit (RM)</t>
  </si>
  <si>
    <t>Profit Margin (%)</t>
  </si>
  <si>
    <t>Original Coconut Shake</t>
  </si>
  <si>
    <t>On</t>
  </si>
  <si>
    <t>Mango Coconut Shake</t>
  </si>
  <si>
    <t>Honey Lemon Coconut Shake</t>
  </si>
  <si>
    <t>Banana Coconut Shake</t>
  </si>
  <si>
    <t>Mixed Berry Coconut Shake</t>
  </si>
  <si>
    <t>Kiwi Coconut Shake</t>
  </si>
  <si>
    <t>Strawberry Coconut Shake</t>
  </si>
  <si>
    <t>Kurma Coconut Shake</t>
  </si>
  <si>
    <t>Off</t>
  </si>
  <si>
    <t>Vanilla Latte Coconut Shake</t>
  </si>
  <si>
    <t>Mocha Coconut Shake</t>
  </si>
  <si>
    <t>Hazelnut Latte Coconut Shake</t>
  </si>
  <si>
    <t>Chocolate Coconut Shake</t>
  </si>
  <si>
    <t>Caramel Machiato Coconut Shake</t>
  </si>
  <si>
    <t>Cafe Latte Coconut Shake</t>
  </si>
  <si>
    <t>Milk Tea Coconut Shake</t>
  </si>
  <si>
    <t>Matcha Coconut Shake</t>
  </si>
  <si>
    <t>Brown Sugar Coconut Shake</t>
  </si>
  <si>
    <t>Brown Sugar Milk Tea Shake</t>
  </si>
  <si>
    <t>Brown Sugar Matcha Shake</t>
  </si>
  <si>
    <t>Coconut Fresh Juice</t>
  </si>
  <si>
    <t>Cafe Latte</t>
  </si>
  <si>
    <t>Hazelnut Latte</t>
  </si>
  <si>
    <t>Caramel Latte</t>
  </si>
  <si>
    <t>Vanilla Latte</t>
  </si>
  <si>
    <t>Mocha</t>
  </si>
  <si>
    <t>Tempura Nuggets</t>
  </si>
  <si>
    <t>Coconut Creme Coffee</t>
  </si>
  <si>
    <t>Coconut Creme Matcha</t>
  </si>
  <si>
    <t>Coconut Creme Chocolate</t>
  </si>
  <si>
    <t>Potato Wedges</t>
  </si>
  <si>
    <t>Chicken Popcorn</t>
  </si>
  <si>
    <t>Curly Fries</t>
  </si>
  <si>
    <t>Chicken Sausage</t>
  </si>
  <si>
    <t>Munchkins</t>
  </si>
  <si>
    <t>Pandan Waffle</t>
  </si>
  <si>
    <t>Ori X Tempura Nuggets</t>
  </si>
  <si>
    <t>Ori X Wedges</t>
  </si>
  <si>
    <t>2 Pax - Ori Coconut Shake</t>
  </si>
  <si>
    <t>4 Pax - Ori Coconut Shake</t>
  </si>
  <si>
    <t>Toppings</t>
  </si>
  <si>
    <t>Type</t>
  </si>
  <si>
    <t>Units Per Serving</t>
  </si>
  <si>
    <t>Total Units</t>
  </si>
  <si>
    <t>Cost per Units (RM)</t>
  </si>
  <si>
    <t>Cost Per Serving (RM)</t>
  </si>
  <si>
    <t>Boba Pearl</t>
  </si>
  <si>
    <t>Whole</t>
  </si>
  <si>
    <t>Chocolate Chips</t>
  </si>
  <si>
    <t>Nata de Coco</t>
  </si>
  <si>
    <t>Mango Pudding</t>
  </si>
  <si>
    <t>Mixed</t>
  </si>
  <si>
    <t>Whipping Cream</t>
  </si>
  <si>
    <t>Toasted Peanuts</t>
  </si>
  <si>
    <t>Dessicated Coconut Flakes</t>
  </si>
  <si>
    <t>Toasted Coconut Flakes</t>
  </si>
  <si>
    <t>Ice Cream</t>
  </si>
  <si>
    <t>Cheesy Sauce</t>
  </si>
  <si>
    <t>Spicy Korean Sauce</t>
  </si>
  <si>
    <t>Mixed Ingredients Summary</t>
  </si>
  <si>
    <t>Cost Per Unit (RM)</t>
  </si>
  <si>
    <t>Coconut Paste</t>
  </si>
  <si>
    <t>Matcha Concentrate</t>
  </si>
  <si>
    <t>Single Shot Espresso</t>
  </si>
  <si>
    <t>Milk Tea Concentrate</t>
  </si>
  <si>
    <t>Pandan Waffle Batter</t>
  </si>
  <si>
    <t>Coffee Cloud</t>
  </si>
  <si>
    <t>Matcha Cloud</t>
  </si>
  <si>
    <t>Chocolate Cloud</t>
  </si>
  <si>
    <t>Item Name:</t>
  </si>
  <si>
    <t>Summary</t>
  </si>
  <si>
    <t>Ingredients</t>
  </si>
  <si>
    <t>Quantity</t>
  </si>
  <si>
    <t>Susu Cair 350g</t>
  </si>
  <si>
    <t>Susu Pekat 500g</t>
  </si>
  <si>
    <t>Pandan Waffle Premix</t>
  </si>
  <si>
    <t>Saji Cooking Oil</t>
  </si>
  <si>
    <t>Fresh Eggs</t>
  </si>
  <si>
    <t>Matcha Green Tea Powder</t>
  </si>
  <si>
    <t>Coffee Bean</t>
  </si>
  <si>
    <t>Chatramue Red Tea</t>
  </si>
  <si>
    <t>Creamer</t>
  </si>
  <si>
    <t>UHT Whipping Cream</t>
  </si>
  <si>
    <t>Full Cream Milk</t>
  </si>
  <si>
    <t>Mixed Ingredients</t>
  </si>
  <si>
    <t>Da Vinci Chocolate Syrup</t>
  </si>
  <si>
    <t>Ingredients Summary</t>
  </si>
  <si>
    <t>Batch Size</t>
  </si>
  <si>
    <t xml:space="preserve">Units Per Batch </t>
  </si>
  <si>
    <t>Cost Per Batch (RM)</t>
  </si>
  <si>
    <t>Brown Sugar Syrup</t>
  </si>
  <si>
    <t>Coconut Juice</t>
  </si>
  <si>
    <t>Coconut Meat</t>
  </si>
  <si>
    <t>Coffee Powder</t>
  </si>
  <si>
    <t>Long Beach Caramel Syrup</t>
  </si>
  <si>
    <t>Long Beach Hazelnut Syrup</t>
  </si>
  <si>
    <t>Long Beach Vanilla Syrup</t>
  </si>
  <si>
    <t>Madam Sun Banana Puree</t>
  </si>
  <si>
    <t>Madam Sun Honey Lemon Puree</t>
  </si>
  <si>
    <t>Madam Sun Kiwi Puree</t>
  </si>
  <si>
    <t>Madam Sun Mango Puree</t>
  </si>
  <si>
    <t>Madam Sun Mixed Berry Puree</t>
  </si>
  <si>
    <t>Madam Sun Strawberry Puree</t>
  </si>
  <si>
    <t>Nata De Coco</t>
  </si>
  <si>
    <t>Kurma Rotab</t>
  </si>
  <si>
    <t>Donut Balls</t>
  </si>
  <si>
    <t>Biscoff Crumbs</t>
  </si>
  <si>
    <t>Oreo Crumbs</t>
  </si>
  <si>
    <t>Matcha Crumbs</t>
  </si>
  <si>
    <t>Matcha Spread</t>
  </si>
  <si>
    <t>Bueno Spread</t>
  </si>
  <si>
    <t>Nutella</t>
  </si>
  <si>
    <t>Biscoff Spread</t>
  </si>
  <si>
    <t>Pistachio Spread</t>
  </si>
  <si>
    <t>Cinnamon Powder</t>
  </si>
  <si>
    <t>Honey</t>
  </si>
  <si>
    <t>Nutriplus Chicken Popcorn</t>
  </si>
  <si>
    <t>Yakult Yogurt</t>
  </si>
  <si>
    <t>Buldak Ramen</t>
  </si>
  <si>
    <t>Coconut Fruit</t>
  </si>
  <si>
    <t>Strawberry Jam</t>
  </si>
  <si>
    <t>Chocolate Jam</t>
  </si>
  <si>
    <t>Peanut Butter Jam</t>
  </si>
  <si>
    <t>Packaging Summary</t>
  </si>
  <si>
    <t>Units Per Batch</t>
  </si>
  <si>
    <t>Cost Per Batch</t>
  </si>
  <si>
    <t>Cost Per Unit</t>
  </si>
  <si>
    <t>90mm U-Shaped Cup</t>
  </si>
  <si>
    <t>Cup Sealer</t>
  </si>
  <si>
    <t>Dome Lids</t>
  </si>
  <si>
    <t>Big Straw</t>
  </si>
  <si>
    <t>Small Straw</t>
  </si>
  <si>
    <t>Single Plastic</t>
  </si>
  <si>
    <t>Double Plastic</t>
  </si>
  <si>
    <t>Oil Paper</t>
  </si>
  <si>
    <t>Large Rounded Bowl</t>
  </si>
  <si>
    <t>Large Rounded Bowl Lid</t>
  </si>
  <si>
    <t>Wooden Fruit Pick</t>
  </si>
  <si>
    <t>Waffle Bag</t>
  </si>
  <si>
    <t>Wooden Fork</t>
  </si>
  <si>
    <t>12oz Single Wall Paper Cup</t>
  </si>
  <si>
    <t>12oz Paper Cup Lid</t>
  </si>
  <si>
    <t>95mm U-Shaped Cup</t>
  </si>
  <si>
    <t>Noodle Box</t>
  </si>
  <si>
    <t>Item SKU:</t>
  </si>
  <si>
    <t>ORI-COCOSHAKE</t>
  </si>
  <si>
    <t>Profit (RM)</t>
  </si>
  <si>
    <t>Packaging</t>
  </si>
  <si>
    <t>Café Latte Coconut Shake</t>
  </si>
  <si>
    <t>MATCHA-COCOSHAKE</t>
  </si>
  <si>
    <t>ORI-BROWNSUGAR</t>
  </si>
  <si>
    <t>Brown Sugar Coconut Shake with Boba Pearl</t>
  </si>
  <si>
    <t>MILK-TEA-BROWNSUGAR</t>
  </si>
  <si>
    <t>Brown Sugar Milk Tea with Boba Pearl</t>
  </si>
  <si>
    <t>MATCHA-BROWNSUGAR</t>
  </si>
  <si>
    <t>Brown Sugar Matcha Green Tea with Boba Pearl</t>
  </si>
  <si>
    <t>COCO-IN-CUP</t>
  </si>
  <si>
    <t>Coconut in Cup</t>
  </si>
  <si>
    <t>CAFE-LATTE</t>
  </si>
  <si>
    <t>HAZELNUT-LATTE</t>
  </si>
  <si>
    <t>CARAMEL-LATTE</t>
  </si>
  <si>
    <t>VANILLA-LATTE</t>
  </si>
  <si>
    <t>MOCHA</t>
  </si>
  <si>
    <t>CREME-COFFEE</t>
  </si>
  <si>
    <t>CREME-MATCHA</t>
  </si>
  <si>
    <t>CREME-CHOCOLATE</t>
  </si>
  <si>
    <t>STRWBRY-YAKULT-COCO</t>
  </si>
  <si>
    <t>Strawberry Yakult Coconut</t>
  </si>
  <si>
    <t>STRWBRY-OREO-COCO-ICED</t>
  </si>
  <si>
    <t>Strawberry Oreo Coconut Iced</t>
  </si>
  <si>
    <t>HNYLMN-YAKULT-COCO</t>
  </si>
  <si>
    <t>Honey Lemon Yakult Coconut</t>
  </si>
  <si>
    <t>Variant:</t>
  </si>
  <si>
    <t>Cheesy</t>
  </si>
  <si>
    <t>Spicy Korean</t>
  </si>
  <si>
    <t>Cost Per Unit(R)</t>
  </si>
  <si>
    <t>Total</t>
  </si>
  <si>
    <t>POTATO-WEDGES</t>
  </si>
  <si>
    <t>CHICKEN-POPCORN</t>
  </si>
  <si>
    <t>CURLY-FRIES</t>
  </si>
  <si>
    <t>CHICKEN-SAUSAGE</t>
  </si>
  <si>
    <t>MKNS</t>
  </si>
  <si>
    <t>Biscoff/Biscoff Crumbs</t>
  </si>
  <si>
    <t>Bueno/Oreo Crumbs</t>
  </si>
  <si>
    <t>Nutella/Crushed Peanuts</t>
  </si>
  <si>
    <t>Pistachio/Choc Chips</t>
  </si>
  <si>
    <t>Matcha/Matcha Crumbs</t>
  </si>
  <si>
    <t>Cinnamon Honey</t>
  </si>
  <si>
    <t>PDN-WAFFLE</t>
  </si>
  <si>
    <t>Pandan Waffles</t>
  </si>
  <si>
    <t>Biscoff Sauce</t>
  </si>
  <si>
    <t>Kinder Sauce</t>
  </si>
  <si>
    <t>Nutella Sauce</t>
  </si>
  <si>
    <t>Pistachio Sauce</t>
  </si>
  <si>
    <t>Peanut Butter</t>
  </si>
  <si>
    <t>Strawberry</t>
  </si>
  <si>
    <t>Chocolate</t>
  </si>
  <si>
    <t>CHEESY-RAMEN</t>
  </si>
  <si>
    <t>Cheesy Ramen with Chicken Popcorn</t>
  </si>
  <si>
    <t>Tempura Chicken Nuggets</t>
  </si>
  <si>
    <t>Combo Summary</t>
  </si>
  <si>
    <t>ORI-TEMPURA</t>
  </si>
  <si>
    <t>Ori x Tempura Nuggets</t>
  </si>
  <si>
    <t>ORI-WDGS</t>
  </si>
  <si>
    <t>Ori x Wedges</t>
  </si>
  <si>
    <t>2-ORI-SHAKE</t>
  </si>
  <si>
    <t>4-ORI-SHAKE</t>
  </si>
  <si>
    <t>PERFECT-COMBO</t>
  </si>
  <si>
    <t>Perfect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</si>
</sst>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i/>
      <sz val="11"/>
      <color rgb="FFFF0000"/>
      <name val="Arial"/>
      <family val="2"/>
    </font>
    <font>
      <b/>
      <u/>
      <sz val="12"/>
      <color theme="1"/>
      <name val="Aptos Narrow"/>
      <scheme val="minor"/>
    </font>
    <font>
      <b/>
      <u/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0" fillId="0" borderId="6" xfId="0" applyBorder="1"/>
    <xf numFmtId="0" fontId="3" fillId="2" borderId="11" xfId="0" applyFont="1" applyFill="1" applyBorder="1"/>
    <xf numFmtId="0" fontId="3" fillId="2" borderId="1" xfId="0" applyFont="1" applyFill="1" applyBorder="1"/>
    <xf numFmtId="0" fontId="0" fillId="2" borderId="0" xfId="0" applyFill="1" applyAlignment="1">
      <alignment horizontal="center"/>
    </xf>
    <xf numFmtId="0" fontId="0" fillId="0" borderId="1" xfId="0" applyBorder="1"/>
    <xf numFmtId="0" fontId="0" fillId="2" borderId="0" xfId="0" applyFill="1"/>
    <xf numFmtId="0" fontId="2" fillId="0" borderId="0" xfId="0" applyFont="1"/>
    <xf numFmtId="0" fontId="2" fillId="2" borderId="10" xfId="0" applyFont="1" applyFill="1" applyBorder="1"/>
    <xf numFmtId="0" fontId="3" fillId="2" borderId="0" xfId="0" applyFont="1" applyFill="1"/>
    <xf numFmtId="0" fontId="2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0" fontId="4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2" fontId="6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2" xfId="0" applyFont="1" applyBorder="1"/>
    <xf numFmtId="0" fontId="9" fillId="0" borderId="8" xfId="0" applyFont="1" applyBorder="1"/>
    <xf numFmtId="0" fontId="9" fillId="0" borderId="3" xfId="0" applyFont="1" applyBorder="1"/>
    <xf numFmtId="2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2" borderId="0" xfId="0" applyFont="1" applyFill="1"/>
    <xf numFmtId="2" fontId="6" fillId="0" borderId="0" xfId="0" applyNumberFormat="1" applyFont="1" applyAlignment="1">
      <alignment horizontal="center"/>
    </xf>
    <xf numFmtId="0" fontId="10" fillId="2" borderId="2" xfId="0" applyFont="1" applyFill="1" applyBorder="1"/>
    <xf numFmtId="0" fontId="3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7" xfId="1" applyNumberFormat="1" applyFont="1" applyFill="1" applyBorder="1" applyAlignment="1">
      <alignment horizontal="center"/>
    </xf>
    <xf numFmtId="2" fontId="0" fillId="0" borderId="0" xfId="1" applyNumberFormat="1" applyFont="1" applyFill="1" applyBorder="1"/>
    <xf numFmtId="0" fontId="3" fillId="0" borderId="9" xfId="0" applyFont="1" applyBorder="1"/>
    <xf numFmtId="0" fontId="4" fillId="0" borderId="4" xfId="0" applyFont="1" applyBorder="1"/>
    <xf numFmtId="0" fontId="4" fillId="0" borderId="9" xfId="0" applyFont="1" applyBorder="1"/>
    <xf numFmtId="0" fontId="4" fillId="0" borderId="5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6" fillId="0" borderId="0" xfId="0" applyNumberFormat="1" applyFont="1"/>
    <xf numFmtId="0" fontId="5" fillId="0" borderId="0" xfId="0" applyNumberFormat="1" applyFont="1"/>
    <xf numFmtId="0" fontId="0" fillId="0" borderId="0" xfId="0" applyFill="1"/>
    <xf numFmtId="0" fontId="0" fillId="0" borderId="0" xfId="0" applyNumberFormat="1" applyFill="1"/>
    <xf numFmtId="0" fontId="2" fillId="0" borderId="19" xfId="0" applyFont="1" applyBorder="1"/>
    <xf numFmtId="0" fontId="2" fillId="0" borderId="16" xfId="0" applyFont="1" applyBorder="1"/>
    <xf numFmtId="0" fontId="0" fillId="0" borderId="20" xfId="0" applyFont="1" applyFill="1" applyBorder="1"/>
    <xf numFmtId="0" fontId="0" fillId="0" borderId="13" xfId="0" applyFont="1" applyFill="1" applyBorder="1"/>
    <xf numFmtId="0" fontId="0" fillId="0" borderId="22" xfId="0" applyFont="1" applyFill="1" applyBorder="1"/>
    <xf numFmtId="0" fontId="0" fillId="0" borderId="14" xfId="0" applyFont="1" applyFill="1" applyBorder="1"/>
    <xf numFmtId="0" fontId="2" fillId="0" borderId="17" xfId="0" applyFont="1" applyFill="1" applyBorder="1" applyAlignment="1">
      <alignment horizontal="left"/>
    </xf>
    <xf numFmtId="0" fontId="2" fillId="0" borderId="18" xfId="0" applyFont="1" applyFill="1" applyBorder="1" applyAlignment="1">
      <alignment horizontal="left"/>
    </xf>
    <xf numFmtId="0" fontId="0" fillId="0" borderId="16" xfId="0" applyFont="1" applyFill="1" applyBorder="1"/>
    <xf numFmtId="0" fontId="0" fillId="0" borderId="13" xfId="0" applyFont="1" applyFill="1" applyBorder="1" applyAlignment="1">
      <alignment horizontal="center"/>
    </xf>
    <xf numFmtId="0" fontId="0" fillId="0" borderId="21" xfId="0" applyFont="1" applyFill="1" applyBorder="1"/>
    <xf numFmtId="0" fontId="0" fillId="0" borderId="15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2" fillId="2" borderId="17" xfId="0" applyFont="1" applyFill="1" applyBorder="1"/>
    <xf numFmtId="0" fontId="0" fillId="0" borderId="6" xfId="0" applyBorder="1" applyAlignment="1">
      <alignment horizontal="center" wrapText="1"/>
    </xf>
    <xf numFmtId="2" fontId="6" fillId="0" borderId="0" xfId="0" applyNumberFormat="1" applyFont="1" applyAlignment="1">
      <alignment wrapText="1"/>
    </xf>
    <xf numFmtId="0" fontId="10" fillId="2" borderId="4" xfId="0" applyFont="1" applyFill="1" applyBorder="1"/>
    <xf numFmtId="0" fontId="10" fillId="0" borderId="4" xfId="0" applyFont="1" applyBorder="1"/>
    <xf numFmtId="0" fontId="9" fillId="0" borderId="9" xfId="0" applyFont="1" applyBorder="1"/>
    <xf numFmtId="0" fontId="9" fillId="0" borderId="5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0" fillId="0" borderId="0" xfId="0" applyNumberFormat="1" applyAlignment="1">
      <alignment horizontal="right"/>
    </xf>
    <xf numFmtId="0" fontId="3" fillId="0" borderId="10" xfId="0" applyFont="1" applyBorder="1"/>
    <xf numFmtId="0" fontId="9" fillId="0" borderId="0" xfId="0" applyFont="1" applyAlignment="1">
      <alignment wrapText="1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919"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 outline="0"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indent="0" justifyLastLine="0" shrinkToFit="0" readingOrder="0"/>
    </dxf>
    <dxf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 outline="0">
        <bottom style="thin">
          <color rgb="FF000000"/>
        </bottom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b val="0"/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2" formatCode="0.0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2" formatCode="0.0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2" formatCode="0.0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/>
      </font>
    </dxf>
  </dxfs>
  <tableStyles count="1" defaultTableStyle="TableStyleMedium2" defaultPivotStyle="PivotStyleLight16">
    <tableStyle name="Table Style 1" pivot="0" count="1" xr9:uid="{AA0E3948-C8D3-5E49-8D6A-2A29A807509D}">
      <tableStyleElement type="wholeTable" dxfId="9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Drop" dropStyle="simple" dx="17" sel="0" val="0" widthMin="164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18</xdr:row>
          <xdr:rowOff>0</xdr:rowOff>
        </xdr:from>
        <xdr:to>
          <xdr:col>2</xdr:col>
          <xdr:colOff>161925</xdr:colOff>
          <xdr:row>19</xdr:row>
          <xdr:rowOff>0</xdr:rowOff>
        </xdr:to>
        <xdr:sp macro="" textlink="">
          <xdr:nvSpPr>
            <xdr:cNvPr id="22531" name="Control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AEEFFF77-7690-350B-2028-E584B5298F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226031-CBC9-A742-BCA7-FB43E6DFD3A2}" name="SummaryProductTable" displayName="SummaryProductTable" ref="A9:F44" totalsRowShown="0" headerRowDxfId="914" dataDxfId="913" headerRowBorderDxfId="911" tableBorderDxfId="912">
  <autoFilter ref="A9:F44" xr:uid="{B3226031-CBC9-A742-BCA7-FB43E6DFD3A2}"/>
  <tableColumns count="6">
    <tableColumn id="1" xr3:uid="{F3E06ACB-0289-2B4F-B9FA-7FAAE46D5A70}" name="Name" dataDxfId="910"/>
    <tableColumn id="4" xr3:uid="{96C335A8-1461-4682-A102-19166F0DD3EE}" name="Sale Status" dataDxfId="909"/>
    <tableColumn id="2" xr3:uid="{A84922E0-C41A-A04E-91BD-FEECFEBC73A0}" name="Selling Price (RM)" dataDxfId="908">
      <calculatedColumnFormula array="1">IF(SummaryProductTable[[#This Row],[Name]]&lt;&gt;"",INDIRECT("'" &amp; SummaryProductTable[[#This Row],[Name]] &amp; "'!A6"),"")</calculatedColumnFormula>
    </tableColumn>
    <tableColumn id="3" xr3:uid="{E06DF990-40C2-AC44-90E1-50A8D1507508}" name="Total Cost (RM)" dataDxfId="907">
      <calculatedColumnFormula array="1">IF(SummaryProductTable[[#This Row],[Name]]&lt;&gt;"",INDIRECT("'" &amp; SummaryProductTable[[#This Row],[Name]] &amp; "'!B6"),"")</calculatedColumnFormula>
    </tableColumn>
    <tableColumn id="5" xr3:uid="{D67AA175-D187-874A-997E-DE1FECE2CE1E}" name="Gross Profit (RM)" dataDxfId="906">
      <calculatedColumnFormula>IF(SummaryProductTable[[#This Row],[Name]]&lt;&gt;"",SummaryProductTable[[#This Row],[Selling Price (RM)]]-SummaryProductTable[[#This Row],[Total Cost (RM)]],"")</calculatedColumnFormula>
    </tableColumn>
    <tableColumn id="6" xr3:uid="{989D33D3-1837-C440-A5AF-1229A996A798}" name="Profit Margin (%)" dataDxfId="905">
      <calculatedColumnFormula>IF(SummaryProductTable[[#This Row],[Name]]&lt;&gt;"",(SummaryProductTable[[#This Row],[Gross Profit (RM)]]/SummaryProductTable[[#This Row],[Selling Price (RM)]])*100,"")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B3138B5-EC52-2B48-9ADF-2B62277976E2}" name="Table57" displayName="Table57" ref="A54:J65" totalsRowShown="0" headerRowDxfId="904" dataDxfId="903">
  <autoFilter ref="A54:J65" xr:uid="{EB3138B5-EC52-2B48-9ADF-2B62277976E2}"/>
  <tableColumns count="10">
    <tableColumn id="1" xr3:uid="{FE6F20A7-467C-244B-913D-8B3B969B65BA}" name="Name" dataDxfId="902"/>
    <tableColumn id="7" xr3:uid="{F967DA7B-BB71-E74A-BC1C-14681F287431}" name="Type" dataDxfId="901"/>
    <tableColumn id="9" xr3:uid="{2FFC2EED-0952-4348-B01C-B1C264B80BB9}" name="Selling Price (RM)" dataDxfId="900"/>
    <tableColumn id="2" xr3:uid="{406B229F-CC25-6447-A744-5EA78515EDBA}" name="Units Per Serving" dataDxfId="899"/>
    <tableColumn id="3" xr3:uid="{732B259C-FAFA-F147-9F5F-9CB96D1DB6E5}" name="Total Cost (RM)" dataDxfId="898">
      <calculatedColumnFormula>IF(Table57[[#This Row],[Name]]&lt;&gt;"",IF(Table57[[#This Row],[Type]]="Mixed",VLOOKUP(Table57[[#This Row],[Name]],MixedIngredientTable[#All],2,FALSE),VLOOKUP(Table57[[#This Row],[Name]],IngredientTable[#All],5,FALSE)),"")</calculatedColumnFormula>
    </tableColumn>
    <tableColumn id="4" xr3:uid="{3838E11E-342B-DB49-92B8-11776ABD24E1}" name="Total Units" dataDxfId="897">
      <calculatedColumnFormula>IF(Table57[[#This Row],[Name]]&lt;&gt;"",IF(Table57[[#This Row],[Type]]="Mixed",VLOOKUP(Table57[[#This Row],[Name]],MixedIngredientTable[#All],3,FALSE),VLOOKUP(Table57[[#This Row],[Name]],IngredientTable[#All],4,FALSE)),"")</calculatedColumnFormula>
    </tableColumn>
    <tableColumn id="8" xr3:uid="{3D1A9548-7003-FC44-BB51-8CBEA87BF4F8}" name="Cost per Units (RM)" dataDxfId="896">
      <calculatedColumnFormula>IF(Table57[[#This Row],[Name]]&lt;&gt;"",Table57[[#This Row],[Total Cost (RM)]]/Table57[[#This Row],[Total Units]],"")</calculatedColumnFormula>
    </tableColumn>
    <tableColumn id="10" xr3:uid="{9C1E243D-AF3C-425A-91C0-49FF48950487}" name="Cost Per Serving (RM)" dataDxfId="895">
      <calculatedColumnFormula>IF(Table57[[#This Row],[Name]]&lt;&gt;"",Table57[[#This Row],[Cost per Units (RM)]]*Table57[[#This Row],[Units Per Serving]],"")</calculatedColumnFormula>
    </tableColumn>
    <tableColumn id="5" xr3:uid="{BDE30A11-9E55-EE45-86F9-066B70D800AA}" name="Gross Profit (RM)" dataDxfId="894">
      <calculatedColumnFormula>IF(Table57[[#This Row],[Name]]&lt;&gt;"",Table57[[#This Row],[Selling Price (RM)]]-(Table57[[#This Row],[Cost per Units (RM)]]*Table57[[#This Row],[Units Per Serving]]),"")</calculatedColumnFormula>
    </tableColumn>
    <tableColumn id="6" xr3:uid="{1F5C5125-BB7F-D242-82A7-263A878F48CF}" name="Profit Margin (%)" dataDxfId="893">
      <calculatedColumnFormula>IF(Table57[[#This Row],[Name]]&lt;&gt;"",(Table57[[#This Row],[Gross Profit (RM)]]/Table57[[#This Row],[Selling Price (RM)]])*100,"")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7DA6FCED-1C4D-4C3A-AEF5-912F81AEEE87}" name="PromoComboTable" displayName="PromoComboTable" ref="A47:F51" totalsRowShown="0" dataDxfId="892" tableBorderDxfId="891">
  <autoFilter ref="A47:F51" xr:uid="{7DA6FCED-1C4D-4C3A-AEF5-912F81AEEE87}"/>
  <tableColumns count="6">
    <tableColumn id="1" xr3:uid="{442A2C07-DAEF-4434-BBEF-CA0AF493C90B}" name="Name" dataDxfId="890"/>
    <tableColumn id="6" xr3:uid="{8B3D2970-E4DE-4276-A832-4A413731D2F4}" name="Sale Status" dataDxfId="889"/>
    <tableColumn id="2" xr3:uid="{CD554D1C-F80C-41C2-87BE-B9F842DDF6FB}" name="Selling Price (RM)" dataDxfId="888">
      <calculatedColumnFormula array="1">IF(PromoComboTable[[#This Row],[Name]]&lt;&gt;"",INDIRECT("'" &amp; PromoComboTable[[#This Row],[Name]] &amp; "'!A6"),"")</calculatedColumnFormula>
    </tableColumn>
    <tableColumn id="3" xr3:uid="{E5984544-3421-4684-BF00-623BFEFCFDCC}" name="Total Cost (RM)" dataDxfId="887">
      <calculatedColumnFormula array="1">IF(PromoComboTable[[#This Row],[Name]]&lt;&gt;"",INDIRECT("'" &amp; PromoComboTable[[#This Row],[Name]] &amp; "'!B6"),"")</calculatedColumnFormula>
    </tableColumn>
    <tableColumn id="4" xr3:uid="{055020D6-804D-43C2-A770-CA6A988BC68E}" name="Gross Profit (RM)" dataDxfId="886">
      <calculatedColumnFormula>IF(PromoComboTable[[#This Row],[Name]]&lt;&gt;"",PromoComboTable[[#This Row],[Selling Price (RM)]]-PromoComboTable[[#This Row],[Total Cost (RM)]],"")</calculatedColumnFormula>
    </tableColumn>
    <tableColumn id="5" xr3:uid="{36B93C5C-CF66-4622-92A5-6479C307961B}" name="Profit Margin (%)" dataDxfId="885">
      <calculatedColumnFormula>IF(PromoComboTable[[#This Row],[Name]]&lt;&gt;"",(PromoComboTable[[#This Row],[Gross Profit (RM)]]/PromoComboTable[[#This Row],[Selling Price (RM)]])*100,"")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6405AA-1C34-CD46-838F-744A7B36B046}" name="MixedIngredientTable" displayName="MixedIngredientTable" ref="A3:D12" totalsRowShown="0" headerRowDxfId="884" dataDxfId="883" headerRowBorderDxfId="881" tableBorderDxfId="882">
  <autoFilter ref="A3:D12" xr:uid="{8AEC901E-15D1-7A44-9B79-6CE8CD6AB7CB}"/>
  <tableColumns count="4">
    <tableColumn id="1" xr3:uid="{E54DCB9E-1051-CC44-AE7C-433365FD38D3}" name="Name" dataDxfId="880"/>
    <tableColumn id="2" xr3:uid="{F3149B55-BD3F-994A-99F7-59EA29FE2324}" name="Total Cost (RM)" dataDxfId="879">
      <calculatedColumnFormula array="1">IF(MixedIngredientTable[[#This Row],[Name]]&lt;&gt;"",INDIRECT("'" &amp; MixedIngredientTable[[#This Row],[Name]] &amp; "'!A5"),"")</calculatedColumnFormula>
    </tableColumn>
    <tableColumn id="3" xr3:uid="{EB1F5256-DB52-1240-AA64-BD1305B5E660}" name="Total Units" dataDxfId="878">
      <calculatedColumnFormula array="1">IF(MixedIngredientTable[[#This Row],[Name]]&lt;&gt;"",INDIRECT("'" &amp; MixedIngredientTable[[#This Row],[Name]] &amp; "'!B5"),"")</calculatedColumnFormula>
    </tableColumn>
    <tableColumn id="4" xr3:uid="{03E63C47-0CA1-4045-B746-27093E9EF394}" name="Cost Per Unit (RM)" dataDxfId="877">
      <calculatedColumnFormula>IF(MixedIngredientTable[[#This Row],[Name]]&lt;&gt;"",MixedIngredientTable[[#This Row],[Total Cost (RM)]]/MixedIngredientTable[[#This Row],[Total Units]],"")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BFF14FE-85B4-2141-9BEB-3175874B96E8}" name="Table18" displayName="Table18" ref="A8:D12" totalsRowCount="1">
  <autoFilter ref="A8:D11" xr:uid="{48F34297-3D1A-6F42-BDD9-7DAA7FCB178D}"/>
  <tableColumns count="4">
    <tableColumn id="1" xr3:uid="{0407682E-1A96-7E45-8900-B7A6657DF012}" name="Name"/>
    <tableColumn id="2" xr3:uid="{654501BB-4B2C-7048-BFB4-E51AD8BAC8CF}" name="Quantity"/>
    <tableColumn id="3" xr3:uid="{606E0856-D674-D241-816D-BFB52C23203A}" name="Cost Per Unit (RM)">
      <calculatedColumnFormula>IF(A9&lt;&gt;"",VLOOKUP(Table18[[#This Row],[Name]], IngredientTable[], 5, FALSE),"")</calculatedColumnFormula>
    </tableColumn>
    <tableColumn id="4" xr3:uid="{457575EC-889D-5C4F-BF60-318891307CE7}" name="Total Cost (RM)" totalsRowFunction="custom" dataDxfId="876">
      <calculatedColumnFormula>IF(Table18[[#This Row],[Name]]&lt;&gt;"",Table18[[#This Row],[Quantity]]*Table18[[#This Row],[Cost Per Unit (RM)]],"")</calculatedColumnFormula>
      <totalsRowFormula>SUM(Table18[Total Cost (RM)])</totalsRow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2DDA843E-34D5-4641-85E2-8E086D25FF30}" name="Table1892" displayName="Table1892" ref="A8:D12" totalsRowCount="1">
  <autoFilter ref="A8:D11" xr:uid="{48F34297-3D1A-6F42-BDD9-7DAA7FCB178D}"/>
  <tableColumns count="4">
    <tableColumn id="1" xr3:uid="{C388E4E9-118E-4A07-A5D6-473FF82D39AF}" name="Name"/>
    <tableColumn id="2" xr3:uid="{96FC7207-E066-4C4B-96D1-DE71E7C56A0F}" name="Quantity"/>
    <tableColumn id="3" xr3:uid="{FA0F6C3D-3D2A-4C86-9574-B83730C6F23F}" name="Cost Per Unit (RM)">
      <calculatedColumnFormula>IF(A9&lt;&gt;"",VLOOKUP(Table1892[[#This Row],[Name]], IngredientTable[], 5, FALSE),"")</calculatedColumnFormula>
    </tableColumn>
    <tableColumn id="4" xr3:uid="{082C566D-EC6D-4A34-A1E8-AF1771D0E90A}" name="Total Cost (RM)" totalsRowFunction="custom" dataDxfId="875">
      <calculatedColumnFormula>IF(Table1892[[#This Row],[Name]]&lt;&gt;"",Table1892[[#This Row],[Quantity]]*Table1892[[#This Row],[Cost Per Unit (RM)]],"")</calculatedColumnFormula>
      <totalsRowFormula>SUM(Table1892[Total Cost (RM)])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FB2D3BA-CBFE-7B42-9CDA-CDB911B69CB5}" name="Table1810" displayName="Table1810" ref="A8:D10" totalsRowCount="1">
  <autoFilter ref="A8:D9" xr:uid="{48F34297-3D1A-6F42-BDD9-7DAA7FCB178D}"/>
  <tableColumns count="4">
    <tableColumn id="1" xr3:uid="{B9D1CE1C-5C1D-7C4F-A5DE-721F37B64EE6}" name="Name" totalsRowDxfId="874"/>
    <tableColumn id="2" xr3:uid="{02B21920-996D-4E48-A944-F9E69C7969B0}" name="Quantity" totalsRowDxfId="873"/>
    <tableColumn id="3" xr3:uid="{5DCE41BB-241A-CA48-A7CD-CBA313E94A16}" name="Cost Per Unit (RM)" totalsRowDxfId="872">
      <calculatedColumnFormula>IF(A9&lt;&gt;"",VLOOKUP(Table1810[[#This Row],[Name]], IngredientTable[], 6, FALSE),"")</calculatedColumnFormula>
    </tableColumn>
    <tableColumn id="4" xr3:uid="{CDF5E997-6316-C34A-A341-CE7AA4C442A0}" name="Total Cost (RM)" totalsRowFunction="custom" dataDxfId="870" totalsRowDxfId="871">
      <calculatedColumnFormula>IF(Table1810[[#This Row],[Name]]&lt;&gt;"",Table1810[[#This Row],[Quantity]]*Table1810[[#This Row],[Cost Per Unit (RM)]],"")</calculatedColumnFormula>
      <totalsRowFormula>SUM(Table1810[Total Cost (RM)])</totalsRow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A51B4E4-5ABD-B742-8952-94028A002D9D}" name="Table181011" displayName="Table181011" ref="A8:D10" totalsRowCount="1">
  <autoFilter ref="A8:D9" xr:uid="{48F34297-3D1A-6F42-BDD9-7DAA7FCB178D}"/>
  <tableColumns count="4">
    <tableColumn id="1" xr3:uid="{90EAB72C-E6BD-F348-A0B8-BE4B52AE9DE8}" name="Name"/>
    <tableColumn id="2" xr3:uid="{1E87EF59-28BF-BE42-A4F1-D327163CFE0A}" name="Quantity"/>
    <tableColumn id="3" xr3:uid="{B22671CA-9C2C-9F4F-A531-D1E2B05EE795}" name="Cost Per Unit (RM)">
      <calculatedColumnFormula>IF(A9&lt;&gt;"",VLOOKUP(Table181011[[#This Row],[Name]], IngredientTable[], 6, FALSE),"")</calculatedColumnFormula>
    </tableColumn>
    <tableColumn id="4" xr3:uid="{F0EDFF8E-E0F1-EE43-B526-01826FAD63B2}" name="Total Cost (RM)" totalsRowFunction="custom" dataDxfId="869">
      <calculatedColumnFormula>IF(Table181011[[#This Row],[Name]]&lt;&gt;"",Table181011[[#This Row],[Quantity]]*Table181011[[#This Row],[Cost Per Unit (RM)]],"")</calculatedColumnFormula>
      <totalsRowFormula>SUM(Table181011[Total Cost (RM)])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FEA35FC-6E31-7744-8467-DA4D7D0F8B28}" name="Table18101115" displayName="Table18101115" ref="A8:D11" totalsRowCount="1">
  <autoFilter ref="A8:D10" xr:uid="{48F34297-3D1A-6F42-BDD9-7DAA7FCB178D}"/>
  <tableColumns count="4">
    <tableColumn id="1" xr3:uid="{9C1F5B1A-60D5-1948-85A7-EE555A373E4F}" name="Name" totalsRowDxfId="868"/>
    <tableColumn id="2" xr3:uid="{A7F18334-F3E1-7746-817C-8125EBC14504}" name="Quantity" dataDxfId="866" totalsRowDxfId="867"/>
    <tableColumn id="3" xr3:uid="{1E5C9B47-A0B9-FF46-B110-DEC011B3EB8F}" name="Cost Per Unit (RM)" dataDxfId="864" totalsRowDxfId="865">
      <calculatedColumnFormula>IF(A9&lt;&gt;"",VLOOKUP(Table18101115[[#This Row],[Name]], IngredientTable[], 5, FALSE),"")</calculatedColumnFormula>
    </tableColumn>
    <tableColumn id="4" xr3:uid="{1D33B851-0636-0940-96A3-F2857E340633}" name="Total Cost (RM)" totalsRowFunction="custom" dataDxfId="862" totalsRowDxfId="863">
      <calculatedColumnFormula>IF(Table18101115[[#This Row],[Name]]&lt;&gt;"",Table18101115[[#This Row],[Quantity]]*Table18101115[[#This Row],[Cost Per Unit (RM)]],"")</calculatedColumnFormula>
      <totalsRowFormula>SUM(Table18101115[Total Cost (RM)])</totalsRow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BD917780-BCFA-4E8C-88D3-DF6575C1A3D1}" name="Table18101115112" displayName="Table18101115112" ref="A8:D12" totalsRowCount="1">
  <autoFilter ref="A8:D11" xr:uid="{48F34297-3D1A-6F42-BDD9-7DAA7FCB178D}"/>
  <tableColumns count="4">
    <tableColumn id="1" xr3:uid="{35F5B8A9-0AC8-4DBF-BEC9-C491BA1FAE2C}" name="Name" totalsRowDxfId="861"/>
    <tableColumn id="2" xr3:uid="{10644E7F-27D8-4A95-BE87-61DFC9F4582F}" name="Quantity" dataDxfId="859" totalsRowDxfId="860"/>
    <tableColumn id="3" xr3:uid="{BDF383D1-C0AA-4325-9F78-F28950B0C7B8}" name="Cost Per Unit (RM)" dataDxfId="857" totalsRowDxfId="858">
      <calculatedColumnFormula>IF(A9&lt;&gt;"",VLOOKUP(Table18101115112[[#This Row],[Name]], IngredientTable[], 6, FALSE),"")</calculatedColumnFormula>
    </tableColumn>
    <tableColumn id="4" xr3:uid="{6598D556-3B5F-42FF-B641-208275831EA8}" name="Total Cost (RM)" totalsRowFunction="custom" dataDxfId="855" totalsRowDxfId="856">
      <calculatedColumnFormula>IF(Table18101115112[[#This Row],[Name]]&lt;&gt;"",Table18101115112[[#This Row],[Quantity]]*Table18101115112[[#This Row],[Cost Per Unit (RM)]],"")</calculatedColumnFormula>
      <totalsRowFormula>SUM(Table18101115112[Total Cost (RM)])</totalsRow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9ECBBEA8-CCDD-4DC3-877C-BE41507C4426}" name="Table114113" displayName="Table114113" ref="A15:D18" totalsRowCount="1">
  <autoFilter ref="A15:D17" xr:uid="{9ECBBEA8-CCDD-4DC3-877C-BE41507C4426}"/>
  <tableColumns count="4">
    <tableColumn id="1" xr3:uid="{725C4FD6-06FD-449D-8A0F-8BCB7BE87336}" name="Name"/>
    <tableColumn id="2" xr3:uid="{6E340424-F6AB-4141-B0EC-79D773899354}" name="Quantity" dataDxfId="854"/>
    <tableColumn id="3" xr3:uid="{CEA10ED1-0481-4A33-AD26-036A402404C0}" name="Cost Per Unit (RM)" dataDxfId="853">
      <calculatedColumnFormula>IF(A16&lt;&gt;"",VLOOKUP(Table114113[[#This Row],[Name]], MixedIngredientTable[], 4, FALSE),"")</calculatedColumnFormula>
    </tableColumn>
    <tableColumn id="4" xr3:uid="{363BBA26-4E37-4B26-AA5E-79C22003E72E}" name="Total Cost (RM)" totalsRowFunction="custom" dataDxfId="851" totalsRowDxfId="852">
      <calculatedColumnFormula>IF(Table114113[[#This Row],[Name]]&lt;&gt;"",Table114113[[#This Row],[Quantity]]*Table114113[[#This Row],[Cost Per Unit (RM)]],"")</calculatedColumnFormula>
      <totalsRowFormula>SUM(Table114113[Total Cost (RM)])</totalsRow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289868A1-C0D8-44B8-9202-3FCAA118C267}" name="Table18101115112114" displayName="Table18101115112114" ref="A8:D12" totalsRowCount="1">
  <autoFilter ref="A8:D11" xr:uid="{48F34297-3D1A-6F42-BDD9-7DAA7FCB178D}"/>
  <tableColumns count="4">
    <tableColumn id="1" xr3:uid="{E8E78EE7-D17B-468E-9CFD-5EDCA9C8CE45}" name="Name" totalsRowDxfId="850"/>
    <tableColumn id="2" xr3:uid="{A65B7995-D724-4AD0-A6ED-AF2B187AFA8E}" name="Quantity" dataDxfId="848" totalsRowDxfId="849"/>
    <tableColumn id="3" xr3:uid="{11927015-356F-4CBB-BE79-29DA671C1C17}" name="Cost Per Unit (RM)" dataDxfId="846" totalsRowDxfId="847">
      <calculatedColumnFormula>IF(A9&lt;&gt;"",VLOOKUP(Table18101115112114[[#This Row],[Name]], IngredientTable[], 6, FALSE),"")</calculatedColumnFormula>
    </tableColumn>
    <tableColumn id="4" xr3:uid="{D1B6D6DA-58D1-4DB2-953E-B4FCB7A9D813}" name="Total Cost (RM)" totalsRowFunction="custom" dataDxfId="844" totalsRowDxfId="845">
      <calculatedColumnFormula>IF(Table18101115112114[[#This Row],[Name]]&lt;&gt;"",Table18101115112114[[#This Row],[Quantity]]*Table18101115112114[[#This Row],[Cost Per Unit (RM)]],"")</calculatedColumnFormula>
      <totalsRowFormula>SUM(Table18101115112114[Total Cost (RM)])</totalsRow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BBF266A9-A015-40B6-B499-AFC4C5414104}" name="Table114113115" displayName="Table114113115" ref="A15:D18" totalsRowCount="1">
  <autoFilter ref="A15:D17" xr:uid="{9ECBBEA8-CCDD-4DC3-877C-BE41507C4426}"/>
  <tableColumns count="4">
    <tableColumn id="1" xr3:uid="{C0C22995-D54A-4DC3-8096-D4E7C1536E48}" name="Name"/>
    <tableColumn id="2" xr3:uid="{45876A32-E353-4E5F-929E-80AD5A3446A7}" name="Quantity" dataDxfId="843"/>
    <tableColumn id="3" xr3:uid="{10576D5A-D8A1-40D7-A6E1-EE0FB5EF3213}" name="Cost Per Unit (RM)" dataDxfId="842">
      <calculatedColumnFormula>IF(A16&lt;&gt;"",VLOOKUP(Table114113115[[#This Row],[Name]], MixedIngredientTable[], 4, FALSE),"")</calculatedColumnFormula>
    </tableColumn>
    <tableColumn id="4" xr3:uid="{29566AC4-854B-4F62-8F68-9CEFF7F8CE4A}" name="Total Cost (RM)" totalsRowFunction="custom" dataDxfId="840" totalsRowDxfId="841">
      <calculatedColumnFormula>IF(Table114113115[[#This Row],[Name]]&lt;&gt;"",Table114113115[[#This Row],[Quantity]]*Table114113115[[#This Row],[Cost Per Unit (RM)]],"")</calculatedColumnFormula>
      <totalsRowFormula>SUM(Table114113115[Total Cost (RM)])</totalsRow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25E2391A-8ED3-4F2D-8DB6-B553DF825E01}" name="Table18101115112114116" displayName="Table18101115112114116" ref="A8:D12" totalsRowCount="1">
  <autoFilter ref="A8:D11" xr:uid="{48F34297-3D1A-6F42-BDD9-7DAA7FCB178D}"/>
  <tableColumns count="4">
    <tableColumn id="1" xr3:uid="{FBF298DA-453C-402B-AB41-862FC9900E30}" name="Name" totalsRowDxfId="839"/>
    <tableColumn id="2" xr3:uid="{460380A8-3102-4C03-8AF6-2E4AC3B9BC72}" name="Quantity" dataDxfId="837" totalsRowDxfId="838"/>
    <tableColumn id="3" xr3:uid="{CE272E3E-12B2-4D10-A8F5-296BB747A84C}" name="Cost Per Unit (RM)" dataDxfId="835" totalsRowDxfId="836">
      <calculatedColumnFormula>IF(A9&lt;&gt;"",VLOOKUP(Table18101115112114116[[#This Row],[Name]], IngredientTable[], 6, FALSE),"")</calculatedColumnFormula>
    </tableColumn>
    <tableColumn id="4" xr3:uid="{B69E610F-60FD-4A8E-819D-A133FEAF8EA7}" name="Total Cost (RM)" totalsRowFunction="custom" dataDxfId="833" totalsRowDxfId="834">
      <calculatedColumnFormula>IF(Table18101115112114116[[#This Row],[Name]]&lt;&gt;"",Table18101115112114116[[#This Row],[Quantity]]*Table18101115112114116[[#This Row],[Cost Per Unit (RM)]],"")</calculatedColumnFormula>
      <totalsRowFormula>SUM(Table18101115112114116[Total Cost (RM)])</totalsRowFormula>
    </tableColumn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E3DDA5DC-90B3-4B9D-8439-0B38F47956B4}" name="Table114113115117" displayName="Table114113115117" ref="A15:D18" totalsRowCount="1">
  <autoFilter ref="A15:D17" xr:uid="{9ECBBEA8-CCDD-4DC3-877C-BE41507C4426}"/>
  <tableColumns count="4">
    <tableColumn id="1" xr3:uid="{AF75E9A9-31A6-422F-88CD-4A681F28C244}" name="Name"/>
    <tableColumn id="2" xr3:uid="{42E568A7-CB82-4D0B-8E4E-9751CDD317B5}" name="Quantity" dataDxfId="832"/>
    <tableColumn id="3" xr3:uid="{3B20D1DC-332C-4FF7-86AC-2A48044B6383}" name="Cost Per Unit (RM)" dataDxfId="831">
      <calculatedColumnFormula>IF(A16&lt;&gt;"",VLOOKUP(Table114113115117[[#This Row],[Name]], MixedIngredientTable[], 4, FALSE),"")</calculatedColumnFormula>
    </tableColumn>
    <tableColumn id="4" xr3:uid="{EB13ADB9-6EC1-4CB4-873B-644CB8187421}" name="Total Cost (RM)" totalsRowFunction="custom" dataDxfId="829" totalsRowDxfId="830">
      <calculatedColumnFormula>IF(Table114113115117[[#This Row],[Name]]&lt;&gt;"",Table114113115117[[#This Row],[Quantity]]*Table114113115117[[#This Row],[Cost Per Unit (RM)]],"")</calculatedColumnFormula>
      <totalsRowFormula>SUM(Table114113115117[Total Cost (RM)])</totalsRow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9E7FA6A-09A9-CD47-9CD5-715C2DBE834E}" name="Table1810111516" displayName="Table1810111516" ref="A8:D10" totalsRowCount="1">
  <autoFilter ref="A8:D9" xr:uid="{48F34297-3D1A-6F42-BDD9-7DAA7FCB178D}"/>
  <tableColumns count="4">
    <tableColumn id="1" xr3:uid="{E094E577-D3DF-2948-9872-91E6BC0083D2}" name="Name" totalsRowDxfId="828"/>
    <tableColumn id="2" xr3:uid="{66EB1493-9917-7348-A0F8-EC38C19290B1}" name="Quantity" dataDxfId="826" totalsRowDxfId="827"/>
    <tableColumn id="3" xr3:uid="{D74631C5-25FD-E844-8892-EB18692B4632}" name="Cost Per Unit (RM)" dataDxfId="824" totalsRowDxfId="825">
      <calculatedColumnFormula>IF(A9&lt;&gt;"",VLOOKUP(Table1810111516[[#This Row],[Name]], IngredientTable[], 6, FALSE),"")</calculatedColumnFormula>
    </tableColumn>
    <tableColumn id="4" xr3:uid="{BAC5C906-4394-E743-A0BD-70C3A17691BE}" name="Total Cost (RM)" totalsRowFunction="custom" dataDxfId="822" totalsRowDxfId="823">
      <calculatedColumnFormula>IF(Table1810111516[[#This Row],[Name]]&lt;&gt;"",Table1810111516[[#This Row],[Quantity]]*Table1810111516[[#This Row],[Cost Per Unit (RM)]],"")</calculatedColumnFormula>
      <totalsRowFormula>SUM(Table1810111516[Total Cost (RM)])</totalsRow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60DDEF-42FA-9C4B-B600-AE390714EBB3}" name="IngredientTable" displayName="IngredientTable" ref="A3:F62" totalsRowShown="0" headerRowDxfId="821" dataDxfId="820" headerRowBorderDxfId="818" tableBorderDxfId="819">
  <autoFilter ref="A3:F62" xr:uid="{0460DDEF-42FA-9C4B-B600-AE390714EBB3}"/>
  <sortState xmlns:xlrd2="http://schemas.microsoft.com/office/spreadsheetml/2017/richdata2" ref="A4:F50">
    <sortCondition ref="F3:F50"/>
  </sortState>
  <tableColumns count="6">
    <tableColumn id="1" xr3:uid="{9B7D139D-18F0-A54F-B5B5-932224AC770C}" name="Name" dataDxfId="817"/>
    <tableColumn id="2" xr3:uid="{B650C357-FD64-DF46-B4B0-6C10CDE5EE77}" name="Batch Size" dataDxfId="816"/>
    <tableColumn id="3" xr3:uid="{460FF783-65A6-F74B-968B-6285D22AF089}" name="Units Per Batch " dataDxfId="815"/>
    <tableColumn id="6" xr3:uid="{CACE6EDF-677B-1D48-9AFA-C215563DDE69}" name="Total Units" dataDxfId="814">
      <calculatedColumnFormula>IF(AND(IngredientTable[[#This Row],[Name]]&lt;&gt;"",IngredientTable[[#This Row],[Batch Size]]&lt;&gt;"",IngredientTable[[#This Row],[Units Per Batch ]]&lt;&gt;""&lt;&gt;""),IngredientTable[[#This Row],[Units Per Batch ]]*IngredientTable[[#This Row],[Batch Size]],"")</calculatedColumnFormula>
    </tableColumn>
    <tableColumn id="4" xr3:uid="{9C848B77-DE0E-FE4E-AA19-AC5828C7D9FC}" name="Cost Per Batch (RM)" dataDxfId="813"/>
    <tableColumn id="5" xr3:uid="{09F9C30B-E44E-E548-B230-8CF4AFC3B6A8}" name="Cost Per Unit (RM)" dataDxfId="812">
      <calculatedColumnFormula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EC901E-15D1-7A44-9B79-6CE8CD6AB7CB}" name="PackagingTable" displayName="PackagingTable" ref="A3:F20" totalsRowShown="0" headerRowDxfId="811" dataDxfId="810" headerRowBorderDxfId="808" tableBorderDxfId="809">
  <autoFilter ref="A3:F20" xr:uid="{8AEC901E-15D1-7A44-9B79-6CE8CD6AB7CB}"/>
  <tableColumns count="6">
    <tableColumn id="1" xr3:uid="{D569E98F-CC85-7343-91D1-47082EAE1796}" name="Name" dataDxfId="807"/>
    <tableColumn id="2" xr3:uid="{BFAE7230-2A3A-514B-AAD0-BDB17C1C8FB3}" name="Batch Size" dataDxfId="806"/>
    <tableColumn id="3" xr3:uid="{A9EFBC5F-9F8A-E545-9711-4969462E973C}" name="Units Per Batch" dataDxfId="805"/>
    <tableColumn id="6" xr3:uid="{49630919-02CC-4C4A-ADF7-BB90F2811359}" name="Total Units" dataDxfId="804">
      <calculatedColumnFormula>IF(PackagingTable[[#This Row],[Name]]&lt;&gt;"",PackagingTable[[#This Row],[Batch Size]]*PackagingTable[[#This Row],[Units Per Batch]],"")</calculatedColumnFormula>
    </tableColumn>
    <tableColumn id="4" xr3:uid="{A77BBDA1-D343-9C4D-87F3-09691E8DA797}" name="Cost Per Batch" dataDxfId="803"/>
    <tableColumn id="5" xr3:uid="{9752B407-A978-E945-867A-DB5518318B4B}" name="Cost Per Unit" dataDxfId="802">
      <calculatedColumnFormula>IF(PackagingTable[[#This Row],[Name]]&lt;&gt;"",PackagingTable[[#This Row],[Cost Per Batch]]/PackagingTable[[#This Row],[Total Units]],"")</calculatedColumnFormula>
    </tableColumn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34297-3D1A-6F42-BDD9-7DAA7FCB178D}" name="Table1" displayName="Table1" ref="A15:D19" totalsRowCount="1">
  <autoFilter ref="A15:D18" xr:uid="{48F34297-3D1A-6F42-BDD9-7DAA7FCB178D}"/>
  <tableColumns count="4">
    <tableColumn id="1" xr3:uid="{70CB48F7-6783-8A4E-95EE-DAE00833248F}" name="Name"/>
    <tableColumn id="2" xr3:uid="{9A5F25FB-C800-274E-BC0E-DF657BF45B64}" name="Quantity" dataDxfId="801"/>
    <tableColumn id="3" xr3:uid="{EF3D5284-A0D7-0042-9127-44E4FA619874}" name="Cost Per Unit (RM)" dataDxfId="800">
      <calculatedColumnFormula>IF(A16&lt;&gt;"",VLOOKUP(Table1[[#This Row],[Name]], IngredientTable[], 6, FALSE),"")</calculatedColumnFormula>
    </tableColumn>
    <tableColumn id="4" xr3:uid="{080DC278-73E0-F548-8D03-AA214B22F576}" name="Total Cost (RM)" totalsRowFunction="custom" dataDxfId="798" totalsRowDxfId="799">
      <calculatedColumnFormula>IF(Table1[[#This Row],[Name]]&lt;&gt;"",Table1[[#This Row],[Quantity]]*Table1[[#This Row],[Cost Per Unit (RM)]],"")</calculatedColumnFormula>
      <totalsRowFormula>SUM(Table1[Total Cost (RM)])</totalsRow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6A8484-A1E7-DB41-9B44-FE1489A8EA09}" name="Table4" displayName="Table4" ref="A21:D25" totalsRowCount="1" dataDxfId="797">
  <autoFilter ref="A21:D24" xr:uid="{306A8484-A1E7-DB41-9B44-FE1489A8EA09}"/>
  <tableColumns count="4">
    <tableColumn id="1" xr3:uid="{0E9734AB-9AD9-A84C-8F73-9165EFC3E8C4}" name="Name" dataDxfId="796"/>
    <tableColumn id="2" xr3:uid="{E25492BA-B566-244F-B478-047A5D474373}" name="Quantity" dataDxfId="794" totalsRowDxfId="795"/>
    <tableColumn id="3" xr3:uid="{B9985225-A4DA-5B40-B8C3-6BC1B24D954F}" name="Cost Per Unit (RM)" dataDxfId="792" totalsRowDxfId="793">
      <calculatedColumnFormula>IF(A22&lt;&gt;"",VLOOKUP(Table4[[#This Row],[Name]], PackagingTable[], 6, FALSE),"")</calculatedColumnFormula>
    </tableColumn>
    <tableColumn id="4" xr3:uid="{A43C149E-A249-C747-AA54-84E66D2639F7}" name="Total Cost (RM)" totalsRowFunction="custom" dataDxfId="790" totalsRowDxfId="791">
      <calculatedColumnFormula>IF(Table4[[#This Row],[Name]]&lt;&gt;"",Table4[[#This Row],[Quantity]]*Table4[[#This Row],[Cost Per Unit (RM)]],"")</calculatedColumnFormula>
      <totalsRowFormula>SUM(Table4[Total Cost (RM)])</totalsRowFormula>
    </tableColumn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EF3BE0-44FD-7348-B971-54054A4F2090}" name="Table114" displayName="Table114" ref="A9:D12" totalsRowCount="1">
  <autoFilter ref="A9:D11" xr:uid="{52EF3BE0-44FD-7348-B971-54054A4F2090}"/>
  <tableColumns count="4">
    <tableColumn id="1" xr3:uid="{AA93E231-A5BE-3546-B3BB-44E498104A5C}" name="Name" totalsRowDxfId="789"/>
    <tableColumn id="2" xr3:uid="{F030606C-5490-0C4D-B9DC-C1C0CBC82A5C}" name="Quantity" dataDxfId="787" totalsRowDxfId="788"/>
    <tableColumn id="3" xr3:uid="{7DA81E6B-CD65-C34C-B720-F07197909813}" name="Cost Per Unit (RM)" dataDxfId="785" totalsRowDxfId="786">
      <calculatedColumnFormula>IF(A10&lt;&gt;"",VLOOKUP(Table114[[#This Row],[Name]], MixedIngredientTable[], 4, FALSE),"")</calculatedColumnFormula>
    </tableColumn>
    <tableColumn id="4" xr3:uid="{5D5CBDA8-FE37-FB4D-BFCB-00501D18914D}" name="Total Cost (RM)" totalsRowFunction="custom" dataDxfId="783" totalsRowDxfId="784">
      <calculatedColumnFormula>IF(Table114[[#This Row],[Name]]&lt;&gt;"",Table114[[#This Row],[Quantity]]*Table114[[#This Row],[Cost Per Unit (RM)]],"")</calculatedColumnFormula>
      <totalsRowFormula>SUM(Table114[Total Cost (RM)])</totalsRowFormula>
    </tableColumn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2AB565E-A6DD-E643-8C54-15104708AE4C}" name="Table117" displayName="Table117" ref="A15:D19" totalsRowCount="1">
  <autoFilter ref="A15:D18" xr:uid="{48F34297-3D1A-6F42-BDD9-7DAA7FCB178D}"/>
  <tableColumns count="4">
    <tableColumn id="1" xr3:uid="{1AA569D3-7FB0-E644-AFAF-9DABA082D2E2}" name="Name" totalsRowDxfId="782"/>
    <tableColumn id="2" xr3:uid="{5DD94CA6-C87C-2746-AA6B-7A05E0846B1E}" name="Quantity" dataDxfId="780" totalsRowDxfId="781"/>
    <tableColumn id="3" xr3:uid="{2081AF02-52E3-D542-A8C9-A15A60255204}" name="Cost Per Unit (RM)" dataDxfId="778" totalsRowDxfId="779">
      <calculatedColumnFormula>IF(A16&lt;&gt;"",VLOOKUP(Table117[[#This Row],[Name]], IngredientTable[], 6, FALSE),"")</calculatedColumnFormula>
    </tableColumn>
    <tableColumn id="4" xr3:uid="{F091E699-9137-D44E-89FD-B6705F5E44E9}" name="Total Cost (RM)" totalsRowFunction="custom" dataDxfId="776" totalsRowDxfId="777">
      <calculatedColumnFormula>IF(Table117[[#This Row],[Name]]&lt;&gt;"",Table117[[#This Row],[Quantity]]*Table117[[#This Row],[Cost Per Unit (RM)]],"")</calculatedColumnFormula>
      <totalsRowFormula>SUM(Table117[Total Cost (RM)])</totalsRowFormula>
    </tableColumn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40C8D3E-1021-3D4E-89B8-BC0AC268A7AA}" name="Table418" displayName="Table418" ref="A21:D25" totalsRowCount="1" dataDxfId="775">
  <autoFilter ref="A21:D24" xr:uid="{306A8484-A1E7-DB41-9B44-FE1489A8EA09}"/>
  <tableColumns count="4">
    <tableColumn id="1" xr3:uid="{7B372051-64A6-644A-B554-F88C644C9D9A}" name="Name" dataDxfId="774"/>
    <tableColumn id="2" xr3:uid="{0AD18504-E727-EC45-9FD9-6D5D3F30E607}" name="Quantity" dataDxfId="772" totalsRowDxfId="773"/>
    <tableColumn id="3" xr3:uid="{B7A555F9-98C3-5749-A2DA-152BB7438194}" name="Cost Per Unit (RM)" dataDxfId="770" totalsRowDxfId="771">
      <calculatedColumnFormula>IF(A22&lt;&gt;"",VLOOKUP(Table418[[#This Row],[Name]], PackagingTable[], 5, FALSE),"")</calculatedColumnFormula>
    </tableColumn>
    <tableColumn id="4" xr3:uid="{B0124A88-06D8-2C4A-BFC5-6C7A22A12859}" name="Total Cost (RM)" totalsRowFunction="custom" dataDxfId="768" totalsRowDxfId="769">
      <calculatedColumnFormula>IF(Table418[[#This Row],[Name]]&lt;&gt;"",Table418[[#This Row],[Quantity]]*Table418[[#This Row],[Cost Per Unit (RM)]],"")</calculatedColumnFormula>
      <totalsRowFormula>SUM(Table418[Total Cost (RM)])</totalsRowFormula>
    </tableColumn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2DB1E1C-90ED-104C-9C9B-48B3E48622CF}" name="Table11419" displayName="Table11419" ref="A9:D12" totalsRowCount="1">
  <autoFilter ref="A9:D11" xr:uid="{52EF3BE0-44FD-7348-B971-54054A4F2090}"/>
  <tableColumns count="4">
    <tableColumn id="1" xr3:uid="{8E9E2992-CC84-5F49-B10D-3696085A2F7E}" name="Name" totalsRowDxfId="767"/>
    <tableColumn id="2" xr3:uid="{285EDBC1-E663-A640-AACA-E17111368172}" name="Quantity" dataDxfId="765" totalsRowDxfId="766"/>
    <tableColumn id="3" xr3:uid="{9CBD7392-B9E2-1B44-9A32-11C4F55FAA64}" name="Cost Per Unit (RM)" dataDxfId="763" totalsRowDxfId="764">
      <calculatedColumnFormula>IF(A10&lt;&gt;"",VLOOKUP(Table11419[[#This Row],[Name]], MixedIngredientTable[], 4, FALSE),"")</calculatedColumnFormula>
    </tableColumn>
    <tableColumn id="4" xr3:uid="{7343F0E5-7D11-4847-AE2B-4CFA2DC705E1}" name="Total Cost (RM)" totalsRowFunction="custom" dataDxfId="761" totalsRowDxfId="762">
      <calculatedColumnFormula>IF(Table11419[[#This Row],[Name]]&lt;&gt;"",Table11419[[#This Row],[Quantity]]*Table11419[[#This Row],[Cost Per Unit (RM)]],"")</calculatedColumnFormula>
      <totalsRowFormula>SUM(Table11419[Total Cost (RM)])</totalsRowFormula>
    </tableColumn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1D1C0B3-E22E-B940-92A1-AF7DD8F932CD}" name="Table11720" displayName="Table11720" ref="A15:D19" totalsRowCount="1">
  <autoFilter ref="A15:D18" xr:uid="{48F34297-3D1A-6F42-BDD9-7DAA7FCB178D}"/>
  <tableColumns count="4">
    <tableColumn id="1" xr3:uid="{A8E6C327-CE19-7C41-82E5-E016A54D71D7}" name="Name" totalsRowDxfId="760"/>
    <tableColumn id="2" xr3:uid="{2BAE37B5-9A6F-1449-9540-0581794E61CA}" name="Quantity" dataDxfId="758" totalsRowDxfId="759"/>
    <tableColumn id="3" xr3:uid="{53AA8AC1-F571-AE46-8E02-2FEFE16EDCB8}" name="Cost Per Unit (RM)" dataDxfId="756" totalsRowDxfId="757">
      <calculatedColumnFormula>IF(A16&lt;&gt;"",VLOOKUP(Table11720[[#This Row],[Name]], IngredientTable[], 6, FALSE),"")</calculatedColumnFormula>
    </tableColumn>
    <tableColumn id="4" xr3:uid="{B0738716-D080-D64C-8748-C69B26C16C1F}" name="Total Cost (RM)" totalsRowFunction="custom" dataDxfId="754" totalsRowDxfId="755">
      <calculatedColumnFormula>IF(Table11720[[#This Row],[Name]]&lt;&gt;"",Table11720[[#This Row],[Quantity]]*Table11720[[#This Row],[Cost Per Unit (RM)]],"")</calculatedColumnFormula>
      <totalsRowFormula>SUM(Table11720[Total Cost (RM)])</totalsRowFormula>
    </tableColumn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22B16D-03EB-BB47-B3DE-C07DB5E37957}" name="Table41821" displayName="Table41821" ref="A21:D25" totalsRowCount="1" dataDxfId="753">
  <autoFilter ref="A21:D24" xr:uid="{306A8484-A1E7-DB41-9B44-FE1489A8EA09}"/>
  <tableColumns count="4">
    <tableColumn id="1" xr3:uid="{651A4DA8-2FC6-CA45-AEF3-641FA9104630}" name="Name" dataDxfId="751" totalsRowDxfId="752"/>
    <tableColumn id="2" xr3:uid="{ADEC31E4-5057-9448-841E-F1CB9F578C5F}" name="Quantity" dataDxfId="749" totalsRowDxfId="750"/>
    <tableColumn id="3" xr3:uid="{88355415-55DD-9D4F-B4A5-3092233BDFCE}" name="Cost Per Unit (RM)" dataDxfId="747" totalsRowDxfId="748">
      <calculatedColumnFormula>IF(A22&lt;&gt;"",VLOOKUP(Table41821[[#This Row],[Name]], PackagingTable[], 6, FALSE),"")</calculatedColumnFormula>
    </tableColumn>
    <tableColumn id="4" xr3:uid="{BD9C1119-7E64-5144-A3F5-E4CCD5B37F8A}" name="Total Cost (RM)" totalsRowFunction="custom" dataDxfId="745" totalsRowDxfId="746">
      <calculatedColumnFormula>IF(Table41821[[#This Row],[Name]]&lt;&gt;"",Table41821[[#This Row],[Quantity]]*Table41821[[#This Row],[Cost Per Unit (RM)]],"")</calculatedColumnFormula>
      <totalsRowFormula>SUM(Table41821[Total Cost (RM)])</totalsRowFormula>
    </tableColumn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FE8DAE8-B1BA-8E49-A957-DF7BC93B49FC}" name="Table1141922" displayName="Table1141922" ref="A9:D12" totalsRowCount="1">
  <autoFilter ref="A9:D11" xr:uid="{52EF3BE0-44FD-7348-B971-54054A4F2090}"/>
  <tableColumns count="4">
    <tableColumn id="1" xr3:uid="{87824628-A936-6C4F-A80E-4C5B57FE4A7E}" name="Name" totalsRowDxfId="744"/>
    <tableColumn id="2" xr3:uid="{58AC77FA-51EE-D848-BE93-8434D3FEB7B7}" name="Quantity" dataDxfId="742" totalsRowDxfId="743"/>
    <tableColumn id="3" xr3:uid="{A0FDC779-15D7-7848-A733-5BF1DBC43CDE}" name="Cost Per Unit (RM)" dataDxfId="740" totalsRowDxfId="741">
      <calculatedColumnFormula>IF(A10&lt;&gt;"",VLOOKUP(Table1141922[[#This Row],[Name]], MixedIngredientTable[], 4, FALSE),"")</calculatedColumnFormula>
    </tableColumn>
    <tableColumn id="4" xr3:uid="{0395A952-8EC3-1A48-AFD1-ABF30EC79184}" name="Total Cost (RM)" totalsRowFunction="custom" dataDxfId="738" totalsRowDxfId="739">
      <calculatedColumnFormula>IF(Table1141922[[#This Row],[Name]]&lt;&gt;"",Table1141922[[#This Row],[Quantity]]*Table1141922[[#This Row],[Cost Per Unit (RM)]],"")</calculatedColumnFormula>
      <totalsRowFormula>SUM(Table1141922[Total Cost (RM)])</totalsRowFormula>
    </tableColumn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8A24115-6BB5-4840-A279-756F05C55A8F}" name="Table1172023" displayName="Table1172023" ref="A15:D19" totalsRowCount="1">
  <autoFilter ref="A15:D18" xr:uid="{48F34297-3D1A-6F42-BDD9-7DAA7FCB178D}"/>
  <tableColumns count="4">
    <tableColumn id="1" xr3:uid="{5AE0EE3B-BC57-8740-84E8-ED3EC051B826}" name="Name" totalsRowDxfId="737"/>
    <tableColumn id="2" xr3:uid="{FB2CD209-A813-754F-A9C1-23CEA5C21C35}" name="Quantity" dataDxfId="735" totalsRowDxfId="736"/>
    <tableColumn id="3" xr3:uid="{F17F1459-D7CF-7E44-8F37-8469555306EF}" name="Cost Per Unit (RM)" dataDxfId="733" totalsRowDxfId="734">
      <calculatedColumnFormula>IF(A16&lt;&gt;"",VLOOKUP(Table1172023[[#This Row],[Name]], IngredientTable[], 6, FALSE),"")</calculatedColumnFormula>
    </tableColumn>
    <tableColumn id="4" xr3:uid="{3D9F5D7D-C846-394C-AD12-86A980361685}" name="Total Cost (RM)" totalsRowFunction="custom" dataDxfId="731" totalsRowDxfId="732">
      <calculatedColumnFormula>IF(Table1172023[[#This Row],[Name]]&lt;&gt;"",Table1172023[[#This Row],[Quantity]]*Table1172023[[#This Row],[Cost Per Unit (RM)]],"")</calculatedColumnFormula>
      <totalsRowFormula>SUM(Table1172023[Total Cost (RM)])</totalsRowFormula>
    </tableColumn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E50C6E9-389F-F544-BEDF-5976F103F0D0}" name="Table4182124" displayName="Table4182124" ref="A21:D25" totalsRowCount="1" dataDxfId="730">
  <autoFilter ref="A21:D24" xr:uid="{306A8484-A1E7-DB41-9B44-FE1489A8EA09}"/>
  <tableColumns count="4">
    <tableColumn id="1" xr3:uid="{30ED01FC-B596-FF42-B3F6-7ABE27C5D354}" name="Name" dataDxfId="728" totalsRowDxfId="729"/>
    <tableColumn id="2" xr3:uid="{071E7831-8B75-FB4B-998C-BA702F32C7AA}" name="Quantity" dataDxfId="726" totalsRowDxfId="727"/>
    <tableColumn id="3" xr3:uid="{92072D20-A2B6-884F-9498-85884E5CAE9B}" name="Cost Per Unit (RM)" dataDxfId="724" totalsRowDxfId="725">
      <calculatedColumnFormula>IF(A22&lt;&gt;"",VLOOKUP(Table4182124[[#This Row],[Name]], PackagingTable[], 6, FALSE),"")</calculatedColumnFormula>
    </tableColumn>
    <tableColumn id="4" xr3:uid="{B6DE1A29-A30E-0942-9EFD-F7DDE7FCF376}" name="Total Cost (RM)" totalsRowFunction="custom" dataDxfId="722" totalsRowDxfId="723">
      <calculatedColumnFormula>IF(Table4182124[[#This Row],[Name]]&lt;&gt;"",Table4182124[[#This Row],[Quantity]]*Table4182124[[#This Row],[Cost Per Unit (RM)]],"")</calculatedColumnFormula>
      <totalsRowFormula>SUM(Table4182124[Total Cost (RM)])</totalsRowFormula>
    </tableColumn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B5FD494-9A6A-F840-BE99-265115E2F556}" name="Table114192225" displayName="Table114192225" ref="A9:D12" totalsRowCount="1">
  <autoFilter ref="A9:D11" xr:uid="{52EF3BE0-44FD-7348-B971-54054A4F2090}"/>
  <tableColumns count="4">
    <tableColumn id="1" xr3:uid="{A9F093E8-8552-5747-B941-36657862DEE6}" name="Name" totalsRowDxfId="721"/>
    <tableColumn id="2" xr3:uid="{BBFCF74D-0E16-C944-9D5C-1C8C97605FA1}" name="Quantity" dataDxfId="719" totalsRowDxfId="720"/>
    <tableColumn id="3" xr3:uid="{1A19D82B-AB32-AD41-93E8-38CC0A2381C0}" name="Cost Per Unit (RM)" dataDxfId="717" totalsRowDxfId="718">
      <calculatedColumnFormula>IF(A10&lt;&gt;"",VLOOKUP(Table114192225[[#This Row],[Name]], MixedIngredientTable[], 4, FALSE),"")</calculatedColumnFormula>
    </tableColumn>
    <tableColumn id="4" xr3:uid="{F1E345D2-1C5B-3344-ADE9-E6E055271090}" name="Total Cost (RM)" totalsRowFunction="custom" dataDxfId="715" totalsRowDxfId="716">
      <calculatedColumnFormula>IF(Table114192225[[#This Row],[Name]]&lt;&gt;"",Table114192225[[#This Row],[Quantity]]*Table114192225[[#This Row],[Cost Per Unit (RM)]],"")</calculatedColumnFormula>
      <totalsRowFormula>SUM(Table114192225[Total Cost (RM)])</totalsRowFormula>
    </tableColumn>
  </tableColumns>
  <tableStyleInfo name="TableStyleLight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BD0A487-278C-0D40-A7FE-96230F193605}" name="Table117202326" displayName="Table117202326" ref="A15:D19" totalsRowCount="1">
  <autoFilter ref="A15:D18" xr:uid="{48F34297-3D1A-6F42-BDD9-7DAA7FCB178D}"/>
  <tableColumns count="4">
    <tableColumn id="1" xr3:uid="{7D27C0C9-798A-184A-9F5F-65024C006586}" name="Name" totalsRowDxfId="714"/>
    <tableColumn id="2" xr3:uid="{EF7CA9A8-5474-9E4A-B1AC-F74DC3F876E0}" name="Quantity" dataDxfId="712" totalsRowDxfId="713"/>
    <tableColumn id="3" xr3:uid="{990294F9-2F43-DE46-ADA5-010F3E004753}" name="Cost Per Unit (RM)" dataDxfId="710" totalsRowDxfId="711">
      <calculatedColumnFormula>IF(A16&lt;&gt;"",VLOOKUP(Table117202326[[#This Row],[Name]], IngredientTable[], 6, FALSE),"")</calculatedColumnFormula>
    </tableColumn>
    <tableColumn id="4" xr3:uid="{0586E02C-4C49-D448-8394-0254DF8EE321}" name="Total Cost (RM)" totalsRowFunction="custom" dataDxfId="708" totalsRowDxfId="709">
      <calculatedColumnFormula>IF(Table117202326[[#This Row],[Name]]&lt;&gt;"",Table117202326[[#This Row],[Quantity]]*Table117202326[[#This Row],[Cost Per Unit (RM)]],"")</calculatedColumnFormula>
      <totalsRowFormula>SUM(Table117202326[Total Cost (RM)])</totalsRowFormula>
    </tableColumn>
  </tableColumns>
  <tableStyleInfo name="TableStyleLight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458E678-EF19-B747-9F19-297812F6A67D}" name="Table418212427" displayName="Table418212427" ref="A21:D25" totalsRowCount="1" dataDxfId="707">
  <autoFilter ref="A21:D24" xr:uid="{306A8484-A1E7-DB41-9B44-FE1489A8EA09}"/>
  <tableColumns count="4">
    <tableColumn id="1" xr3:uid="{4646FC3F-1055-494E-8B01-FA3479785C8B}" name="Name" dataDxfId="705" totalsRowDxfId="706"/>
    <tableColumn id="2" xr3:uid="{946CCBFB-43C8-5D4B-B209-D2B8981E051C}" name="Quantity" dataDxfId="703" totalsRowDxfId="704"/>
    <tableColumn id="3" xr3:uid="{97DCBE83-2F5B-6145-A86E-7435F12D1F84}" name="Cost Per Unit (RM)" dataDxfId="701" totalsRowDxfId="702">
      <calculatedColumnFormula>IF(A22&lt;&gt;"",VLOOKUP(Table418212427[[#This Row],[Name]], PackagingTable[], 6, FALSE),"")</calculatedColumnFormula>
    </tableColumn>
    <tableColumn id="4" xr3:uid="{E65EE52E-FC48-C143-96D6-94B82F5D98CA}" name="Total Cost (RM)" totalsRowFunction="custom" dataDxfId="699" totalsRowDxfId="700">
      <calculatedColumnFormula>IF(Table418212427[[#This Row],[Name]]&lt;&gt;"",Table418212427[[#This Row],[Quantity]]*Table418212427[[#This Row],[Cost Per Unit (RM)]],"")</calculatedColumnFormula>
      <totalsRowFormula>SUM(Table418212427[Total Cost (RM)])</totalsRowFormula>
    </tableColumn>
  </tableColumns>
  <tableStyleInfo name="TableStyleLight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063E6DE-AC9C-8648-8631-8AC1F7AC4FCB}" name="Table11419222528" displayName="Table11419222528" ref="A9:D12" totalsRowCount="1">
  <autoFilter ref="A9:D11" xr:uid="{52EF3BE0-44FD-7348-B971-54054A4F2090}"/>
  <tableColumns count="4">
    <tableColumn id="1" xr3:uid="{B36E7CB8-57CA-F549-8A82-A00572F2586D}" name="Name" totalsRowDxfId="698"/>
    <tableColumn id="2" xr3:uid="{4CF05348-DFC9-6343-A600-33799A399AAA}" name="Quantity" dataDxfId="696" totalsRowDxfId="697"/>
    <tableColumn id="3" xr3:uid="{AEC4E961-F207-AD49-8EF8-8FB2D073092E}" name="Cost Per Unit (RM)" dataDxfId="694" totalsRowDxfId="695">
      <calculatedColumnFormula>IF(A10&lt;&gt;"",VLOOKUP(Table11419222528[[#This Row],[Name]], MixedIngredientTable[], 4, FALSE),"")</calculatedColumnFormula>
    </tableColumn>
    <tableColumn id="4" xr3:uid="{E79D317F-7DAA-B348-9297-341AFC1FF4CE}" name="Total Cost (RM)" totalsRowFunction="custom" dataDxfId="692" totalsRowDxfId="693">
      <calculatedColumnFormula>IF(Table11419222528[[#This Row],[Name]]&lt;&gt;"",Table11419222528[[#This Row],[Quantity]]*Table11419222528[[#This Row],[Cost Per Unit (RM)]],"")</calculatedColumnFormula>
      <totalsRowFormula>SUM(Table11419222528[Total Cost (RM)])</totalsRowFormula>
    </tableColumn>
  </tableColumns>
  <tableStyleInfo name="TableStyleLight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14073BF-E9BF-D848-805C-BFE30761FCBA}" name="Table11720232629" displayName="Table11720232629" ref="A15:D19" totalsRowCount="1">
  <autoFilter ref="A15:D18" xr:uid="{48F34297-3D1A-6F42-BDD9-7DAA7FCB178D}"/>
  <tableColumns count="4">
    <tableColumn id="1" xr3:uid="{A33188ED-440A-0846-AA28-B06ADA4CE8D6}" name="Name" totalsRowDxfId="691"/>
    <tableColumn id="2" xr3:uid="{52C514E0-38F6-FD42-9A32-C7CCD1FBE44A}" name="Quantity" dataDxfId="689" totalsRowDxfId="690"/>
    <tableColumn id="3" xr3:uid="{CE293E28-CAB0-0041-8310-A92AE356D56A}" name="Cost Per Unit (RM)" dataDxfId="687" totalsRowDxfId="688">
      <calculatedColumnFormula>IF(A16&lt;&gt;"",VLOOKUP(Table11720232629[[#This Row],[Name]], IngredientTable[], 6, FALSE),"")</calculatedColumnFormula>
    </tableColumn>
    <tableColumn id="4" xr3:uid="{4AD59242-5CC2-7248-ADBE-5645636AEC24}" name="Total Cost (RM)" totalsRowFunction="custom" dataDxfId="685" totalsRowDxfId="686">
      <calculatedColumnFormula>IF(Table11720232629[[#This Row],[Name]]&lt;&gt;"",Table11720232629[[#This Row],[Quantity]]*Table11720232629[[#This Row],[Cost Per Unit (RM)]],"")</calculatedColumnFormula>
      <totalsRowFormula>SUM(Table11720232629[Total Cost (RM)])</totalsRowFormula>
    </tableColumn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790E1C4-6E3E-BD4D-B1DC-A4D2DE4F6AB1}" name="Table41821242730" displayName="Table41821242730" ref="A21:D25" totalsRowCount="1" dataDxfId="684">
  <autoFilter ref="A21:D24" xr:uid="{306A8484-A1E7-DB41-9B44-FE1489A8EA09}"/>
  <tableColumns count="4">
    <tableColumn id="1" xr3:uid="{97D90208-F1DE-EC40-9E30-60CB15C76F75}" name="Name" dataDxfId="682" totalsRowDxfId="683"/>
    <tableColumn id="2" xr3:uid="{921960A7-D779-0A4F-B941-9D1292CBFDD0}" name="Quantity" dataDxfId="680" totalsRowDxfId="681"/>
    <tableColumn id="3" xr3:uid="{B1D90651-7D95-E043-8EBA-DD97717F319B}" name="Cost Per Unit (RM)" dataDxfId="678" totalsRowDxfId="679">
      <calculatedColumnFormula>IF(A22&lt;&gt;"",VLOOKUP(Table41821242730[[#This Row],[Name]], PackagingTable[], 5, FALSE),"")</calculatedColumnFormula>
    </tableColumn>
    <tableColumn id="4" xr3:uid="{217A6565-868E-6D46-A9AC-6A65EAE88A6E}" name="Total Cost (RM)" totalsRowFunction="custom" dataDxfId="676" totalsRowDxfId="677">
      <calculatedColumnFormula>IF(Table41821242730[[#This Row],[Name]]&lt;&gt;"",Table41821242730[[#This Row],[Quantity]]*Table41821242730[[#This Row],[Cost Per Unit (RM)]],"")</calculatedColumnFormula>
      <totalsRowFormula>SUM(Table41821242730[Total Cost (RM)])</totalsRowFormula>
    </tableColumn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3F4D89F-5247-2E47-AC5A-17CBBF3821BB}" name="Table1141922252831" displayName="Table1141922252831" ref="A9:D12" totalsRowCount="1">
  <autoFilter ref="A9:D11" xr:uid="{52EF3BE0-44FD-7348-B971-54054A4F2090}"/>
  <tableColumns count="4">
    <tableColumn id="1" xr3:uid="{14286F54-02DB-4845-A914-F266BE9550C5}" name="Name" totalsRowDxfId="675"/>
    <tableColumn id="2" xr3:uid="{C5EC80E5-D59C-8C48-B695-93460889F3EC}" name="Quantity" dataDxfId="673" totalsRowDxfId="674"/>
    <tableColumn id="3" xr3:uid="{9FDE5E05-BA06-A448-A9C7-87C0A17B1047}" name="Cost Per Unit (RM)" dataDxfId="671" totalsRowDxfId="672">
      <calculatedColumnFormula>IF(A10&lt;&gt;"",VLOOKUP(Table1141922252831[[#This Row],[Name]], MixedIngredientTable[], 4, FALSE),"")</calculatedColumnFormula>
    </tableColumn>
    <tableColumn id="4" xr3:uid="{688D4458-7E3F-A345-BA97-7573A31DB780}" name="Total Cost (RM)" totalsRowFunction="custom" dataDxfId="669" totalsRowDxfId="670">
      <calculatedColumnFormula>IF(Table1141922252831[[#This Row],[Name]]&lt;&gt;"",Table1141922252831[[#This Row],[Quantity]]*Table1141922252831[[#This Row],[Cost Per Unit (RM)]],"")</calculatedColumnFormula>
      <totalsRowFormula>SUM(Table1141922252831[Total Cost (RM)])</totalsRowFormula>
    </tableColumn>
  </tableColumns>
  <tableStyleInfo name="TableStyleLight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ABE8740-7890-704E-A3D8-F536B37A1825}" name="Table1172023262932" displayName="Table1172023262932" ref="A15:D19" totalsRowCount="1">
  <autoFilter ref="A15:D18" xr:uid="{48F34297-3D1A-6F42-BDD9-7DAA7FCB178D}"/>
  <tableColumns count="4">
    <tableColumn id="1" xr3:uid="{919E161C-729D-6642-92D4-0BC14EE46745}" name="Name" totalsRowDxfId="668"/>
    <tableColumn id="2" xr3:uid="{9308C8D5-40BC-8C4E-A29B-CBE42A0ECF06}" name="Quantity" dataDxfId="666" totalsRowDxfId="667"/>
    <tableColumn id="3" xr3:uid="{C28F3AB1-8E67-5943-99F1-5CE7C964C7BC}" name="Cost Per Unit (RM)" dataDxfId="664" totalsRowDxfId="665">
      <calculatedColumnFormula>IF(A16&lt;&gt;"",VLOOKUP(Table1172023262932[[#This Row],[Name]], IngredientTable[], 6, FALSE),"")</calculatedColumnFormula>
    </tableColumn>
    <tableColumn id="4" xr3:uid="{D3E53989-BB6D-F143-B31B-19AB45456B4F}" name="Total Cost (RM)" totalsRowFunction="custom" dataDxfId="662" totalsRowDxfId="663">
      <calculatedColumnFormula>IF(Table1172023262932[[#This Row],[Name]]&lt;&gt;"",Table1172023262932[[#This Row],[Quantity]]*Table1172023262932[[#This Row],[Cost Per Unit (RM)]],"")</calculatedColumnFormula>
      <totalsRowFormula>SUM(Table1172023262932[Total Cost (RM)])</totalsRowFormula>
    </tableColumn>
  </tableColumns>
  <tableStyleInfo name="TableStyleLight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9C8426A-087D-5F43-91C1-DB28A5364F98}" name="Table4182124273033" displayName="Table4182124273033" ref="A21:D25" totalsRowCount="1" dataDxfId="661">
  <autoFilter ref="A21:D24" xr:uid="{306A8484-A1E7-DB41-9B44-FE1489A8EA09}"/>
  <tableColumns count="4">
    <tableColumn id="1" xr3:uid="{899E55DC-4F26-0A4A-88B2-A026574AB3F3}" name="Name" dataDxfId="659" totalsRowDxfId="660"/>
    <tableColumn id="2" xr3:uid="{31158920-63F8-2840-A044-35B8EDAB357F}" name="Quantity" dataDxfId="657" totalsRowDxfId="658"/>
    <tableColumn id="3" xr3:uid="{130338E7-5D87-B744-AFD2-67CFFE40ADD4}" name="Cost Per Unit (RM)" dataDxfId="655" totalsRowDxfId="656">
      <calculatedColumnFormula>IF(A22&lt;&gt;"",VLOOKUP(Table4182124273033[[#This Row],[Name]], PackagingTable[], 5, FALSE),"")</calculatedColumnFormula>
    </tableColumn>
    <tableColumn id="4" xr3:uid="{464841E9-3D23-8448-8283-78E10DDF3FC2}" name="Total Cost (RM)" totalsRowFunction="custom" dataDxfId="653" totalsRowDxfId="654">
      <calculatedColumnFormula>IF(Table4182124273033[[#This Row],[Name]]&lt;&gt;"",Table4182124273033[[#This Row],[Quantity]]*Table4182124273033[[#This Row],[Cost Per Unit (RM)]],"")</calculatedColumnFormula>
      <totalsRowFormula>SUM(Table4182124273033[Total Cost (RM)])</totalsRowFormula>
    </tableColumn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3DEBA55-A2DB-4648-8F3C-D741EB683B68}" name="Table114192225283134" displayName="Table114192225283134" ref="A9:D12" totalsRowCount="1">
  <autoFilter ref="A9:D11" xr:uid="{52EF3BE0-44FD-7348-B971-54054A4F2090}"/>
  <tableColumns count="4">
    <tableColumn id="1" xr3:uid="{1074121F-1674-C040-9D30-B5C58BA86F5C}" name="Name" totalsRowDxfId="652"/>
    <tableColumn id="2" xr3:uid="{6C0632F2-64CA-CE49-814B-6BA186EB527D}" name="Quantity" dataDxfId="650" totalsRowDxfId="651"/>
    <tableColumn id="3" xr3:uid="{064A0683-AA37-1E49-8B91-247EBC3BCAF5}" name="Cost Per Unit (RM)" dataDxfId="648" totalsRowDxfId="649">
      <calculatedColumnFormula>IF(A10&lt;&gt;"",VLOOKUP(Table114192225283134[[#This Row],[Name]], MixedIngredientTable[], 4, FALSE),"")</calculatedColumnFormula>
    </tableColumn>
    <tableColumn id="4" xr3:uid="{A3A475A9-5F72-EB45-B8C5-258316BD4701}" name="Total Cost (RM)" totalsRowFunction="custom" dataDxfId="646" totalsRowDxfId="647">
      <calculatedColumnFormula>IF(Table114192225283134[[#This Row],[Name]]&lt;&gt;"",Table114192225283134[[#This Row],[Quantity]]*Table114192225283134[[#This Row],[Cost Per Unit (RM)]],"")</calculatedColumnFormula>
      <totalsRowFormula>SUM(Table114192225283134[Total Cost (RM)])</totalsRowFormula>
    </tableColumn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869482C-C4AF-9A48-9D08-8860F9517203}" name="Table11735" displayName="Table11735" ref="A15:D19" totalsRowCount="1">
  <autoFilter ref="A15:D18" xr:uid="{48F34297-3D1A-6F42-BDD9-7DAA7FCB178D}"/>
  <tableColumns count="4">
    <tableColumn id="1" xr3:uid="{F16BADA2-E68D-C04E-B7BF-C79DF89DFA7E}" name="Name" totalsRowDxfId="645"/>
    <tableColumn id="2" xr3:uid="{312A7178-973A-C445-ABD1-5CFF5CA17FA6}" name="Quantity" dataDxfId="643" totalsRowDxfId="644"/>
    <tableColumn id="3" xr3:uid="{ED4B91D8-51A9-734D-8EBA-0508ECC07565}" name="Cost Per Unit (RM)" dataDxfId="641" totalsRowDxfId="642">
      <calculatedColumnFormula>IF(A16&lt;&gt;"",VLOOKUP(Table11735[[#This Row],[Name]], IngredientTable[], 6, FALSE),"")</calculatedColumnFormula>
    </tableColumn>
    <tableColumn id="4" xr3:uid="{0ADEC0B3-0345-C34E-AB76-BCEC3406B402}" name="Total Cost (RM)" totalsRowFunction="custom" dataDxfId="639" totalsRowDxfId="640">
      <calculatedColumnFormula>IF(Table11735[[#This Row],[Name]]&lt;&gt;"",Table11735[[#This Row],[Quantity]]*Table11735[[#This Row],[Cost Per Unit (RM)]],"")</calculatedColumnFormula>
      <totalsRowFormula>SUM(Table11735[Total Cost (RM)])</totalsRowFormula>
    </tableColumn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28A2C30-49F5-244C-899D-901076127DA6}" name="Table41836" displayName="Table41836" ref="A21:D25" totalsRowCount="1" dataDxfId="638">
  <autoFilter ref="A21:D24" xr:uid="{306A8484-A1E7-DB41-9B44-FE1489A8EA09}"/>
  <tableColumns count="4">
    <tableColumn id="1" xr3:uid="{2D6840C5-9413-0749-88B8-6E5F05B5574B}" name="Name" dataDxfId="636" totalsRowDxfId="637"/>
    <tableColumn id="2" xr3:uid="{2DF7BB1C-7DD1-E249-9747-115E33688FFC}" name="Quantity" dataDxfId="634" totalsRowDxfId="635"/>
    <tableColumn id="3" xr3:uid="{8B8E9F1E-488D-674A-A2DA-BEEA1D5CFBDE}" name="Cost Per Unit (RM)" dataDxfId="632" totalsRowDxfId="633">
      <calculatedColumnFormula>IF(A22&lt;&gt;"",VLOOKUP(Table41836[[#This Row],[Name]], PackagingTable[], 5, FALSE),"")</calculatedColumnFormula>
    </tableColumn>
    <tableColumn id="4" xr3:uid="{840D976E-68E2-A445-BA9A-49105F419AD1}" name="Total Cost (RM)" totalsRowFunction="custom" dataDxfId="630" totalsRowDxfId="631">
      <calculatedColumnFormula>IF(Table41836[[#This Row],[Name]]&lt;&gt;"",Table41836[[#This Row],[Quantity]]*Table41836[[#This Row],[Cost Per Unit (RM)]],"")</calculatedColumnFormula>
      <totalsRowFormula>SUM(Table41836[Total Cost (RM)])</totalsRowFormula>
    </tableColumn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8B65B36-A9C2-F849-8505-8B0FA4FCCB1F}" name="Table1141937" displayName="Table1141937" ref="A9:D12" totalsRowCount="1">
  <autoFilter ref="A9:D11" xr:uid="{52EF3BE0-44FD-7348-B971-54054A4F2090}"/>
  <tableColumns count="4">
    <tableColumn id="1" xr3:uid="{6E1BAD19-D25F-DC45-BDFC-89C5B0EE487C}" name="Name" totalsRowDxfId="629"/>
    <tableColumn id="2" xr3:uid="{564B2138-BF89-4446-AF92-98A828939CB5}" name="Quantity" dataDxfId="627" totalsRowDxfId="628"/>
    <tableColumn id="3" xr3:uid="{4D04B3B6-0FD9-104B-9C2C-F8E863794D3D}" name="Cost Per Unit (RM)" dataDxfId="625" totalsRowDxfId="626">
      <calculatedColumnFormula>IF(A10&lt;&gt;"",VLOOKUP(Table1141937[[#This Row],[Name]], MixedIngredientTable[], 4, FALSE),"")</calculatedColumnFormula>
    </tableColumn>
    <tableColumn id="4" xr3:uid="{AA87F08B-9EFC-2A4D-B653-557E388F83B2}" name="Total Cost (RM)" totalsRowFunction="custom" dataDxfId="623" totalsRowDxfId="624">
      <calculatedColumnFormula>IF(Table1141937[[#This Row],[Name]]&lt;&gt;"",Table1141937[[#This Row],[Quantity]]*Table1141937[[#This Row],[Cost Per Unit (RM)]],"")</calculatedColumnFormula>
      <totalsRowFormula>SUM(Table1141937[Total Cost (RM)])</totalsRowFormula>
    </tableColumn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9729C8F1-9F02-48AF-B414-C79C07FB24AA}" name="Table11735942" displayName="Table11735942" ref="A15:D19" totalsRowCount="1">
  <autoFilter ref="A15:D18" xr:uid="{48F34297-3D1A-6F42-BDD9-7DAA7FCB178D}"/>
  <tableColumns count="4">
    <tableColumn id="1" xr3:uid="{B3A52C6E-5FEA-4FB4-AC90-CEF6D22A54A2}" name="Name"/>
    <tableColumn id="2" xr3:uid="{E5686041-F734-4E0D-A53E-74795E0E5958}" name="Quantity" dataDxfId="622"/>
    <tableColumn id="3" xr3:uid="{B1F1C426-2E77-4D18-830E-71ABDA756334}" name="Cost Per Unit (RM)" dataDxfId="621">
      <calculatedColumnFormula>IF(A16&lt;&gt;"",VLOOKUP(Table11735942[[#This Row],[Name]], IngredientTable[], 6, FALSE),"")</calculatedColumnFormula>
    </tableColumn>
    <tableColumn id="4" xr3:uid="{914040C3-1525-45D4-B5A7-C4252A4F74D4}" name="Total Cost (RM)" totalsRowFunction="custom" dataDxfId="619" totalsRowDxfId="620">
      <calculatedColumnFormula>IF(Table11735942[[#This Row],[Name]]&lt;&gt;"",Table11735942[[#This Row],[Quantity]]*Table11735942[[#This Row],[Cost Per Unit (RM)]],"")</calculatedColumnFormula>
      <totalsRowFormula>SUM(Table11735942[Total Cost (RM)])</totalsRowFormula>
    </tableColumn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BB95123-E089-4630-A081-63D3423FE81C}" name="Table418361243" displayName="Table418361243" ref="A21:D25" totalsRowCount="1" dataDxfId="618">
  <autoFilter ref="A21:D24" xr:uid="{306A8484-A1E7-DB41-9B44-FE1489A8EA09}"/>
  <tableColumns count="4">
    <tableColumn id="1" xr3:uid="{4D9185CE-8DDF-4635-9E26-8B3B39B43CF9}" name="Name" dataDxfId="616" totalsRowDxfId="617"/>
    <tableColumn id="2" xr3:uid="{FE3AE54A-1A9B-4AAF-A7DA-6FE49635CF7F}" name="Quantity" dataDxfId="614" totalsRowDxfId="615"/>
    <tableColumn id="3" xr3:uid="{31B190A8-3384-4F55-BC79-698ACB10C598}" name="Cost Per Unit (RM)" dataDxfId="612" totalsRowDxfId="613">
      <calculatedColumnFormula>IF(A22&lt;&gt;"",VLOOKUP(Table418361243[[#This Row],[Name]], PackagingTable[], 6, FALSE),"")</calculatedColumnFormula>
    </tableColumn>
    <tableColumn id="4" xr3:uid="{C97F1B36-3C79-445E-8D99-0C30ADEC5A0E}" name="Total Cost (RM)" totalsRowFunction="custom" dataDxfId="610" totalsRowDxfId="611">
      <calculatedColumnFormula>IF(Table418361243[[#This Row],[Name]]&lt;&gt;"",Table418361243[[#This Row],[Quantity]]*Table418361243[[#This Row],[Cost Per Unit (RM)]],"")</calculatedColumnFormula>
      <totalsRowFormula>SUM(Table418361243[Total Cost (RM)])</totalsRowFormula>
    </tableColumn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4906BD3-AC52-42E4-824C-D8C468E1D645}" name="Table11419374144" displayName="Table11419374144" ref="A9:D12" totalsRowCount="1">
  <autoFilter ref="A9:D11" xr:uid="{52EF3BE0-44FD-7348-B971-54054A4F2090}"/>
  <tableColumns count="4">
    <tableColumn id="1" xr3:uid="{E6623839-3E5C-4ADC-9D56-463341667F00}" name="Name"/>
    <tableColumn id="2" xr3:uid="{D4B43940-3929-4771-8D0E-39258BBA6E3E}" name="Quantity" dataDxfId="609"/>
    <tableColumn id="3" xr3:uid="{9234CBCE-E50F-4699-B560-9201DD7CE259}" name="Cost Per Unit (RM)" dataDxfId="608">
      <calculatedColumnFormula>IF(A10&lt;&gt;"",VLOOKUP(Table11419374144[[#This Row],[Name]], MixedIngredientTable[], 4, FALSE),"")</calculatedColumnFormula>
    </tableColumn>
    <tableColumn id="4" xr3:uid="{943A46C1-8416-4DF6-A4D9-249EE24CD5B5}" name="Total Cost (RM)" totalsRowFunction="custom" dataDxfId="606" totalsRowDxfId="607">
      <calculatedColumnFormula>IF(Table11419374144[[#This Row],[Name]]&lt;&gt;"",Table11419374144[[#This Row],[Quantity]]*Table11419374144[[#This Row],[Cost Per Unit (RM)]],"")</calculatedColumnFormula>
      <totalsRowFormula>SUM(Table11419374144[Total Cost (RM)])</totalsRowFormula>
    </tableColumn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896438-C947-498A-99BB-43C80C9C99E6}" name="Table117359" displayName="Table117359" ref="A15:D20" totalsRowCount="1">
  <autoFilter ref="A15:D19" xr:uid="{48F34297-3D1A-6F42-BDD9-7DAA7FCB178D}"/>
  <tableColumns count="4">
    <tableColumn id="1" xr3:uid="{83FF08FD-9C8B-4030-BC96-9F84A09C86B7}" name="Name"/>
    <tableColumn id="2" xr3:uid="{EC4FE7FC-D3BA-4D3D-80A6-4CA63FDC08F8}" name="Quantity" dataDxfId="605"/>
    <tableColumn id="3" xr3:uid="{C2870598-2CDE-4F74-B522-BFE778E56F9C}" name="Cost Per Unit (RM)" dataDxfId="604">
      <calculatedColumnFormula>IF(A16&lt;&gt;"",VLOOKUP(Table117359[[#This Row],[Name]], IngredientTable[], 6, FALSE),"")</calculatedColumnFormula>
    </tableColumn>
    <tableColumn id="4" xr3:uid="{10F93811-A24B-4BDD-A995-4A42B4674B84}" name="Total Cost (RM)" totalsRowFunction="custom" dataDxfId="602" totalsRowDxfId="603">
      <calculatedColumnFormula>IF(Table117359[[#This Row],[Name]]&lt;&gt;"",Table117359[[#This Row],[Quantity]]*Table117359[[#This Row],[Cost Per Unit (RM)]],"")</calculatedColumnFormula>
      <totalsRowFormula>SUM(Table117359[Total Cost (RM)])</totalsRowFormula>
    </tableColumn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02C714-818E-4504-B22C-97139445FF31}" name="Table4183612" displayName="Table4183612" ref="A22:D26" totalsRowCount="1" dataDxfId="601">
  <autoFilter ref="A22:D25" xr:uid="{306A8484-A1E7-DB41-9B44-FE1489A8EA09}"/>
  <tableColumns count="4">
    <tableColumn id="1" xr3:uid="{37E7648F-6A84-4BF6-B6E6-3AC3421BF532}" name="Name" dataDxfId="599" totalsRowDxfId="600"/>
    <tableColumn id="2" xr3:uid="{C56694E3-8409-47E9-B61B-64D78FF34B71}" name="Quantity" dataDxfId="597" totalsRowDxfId="598"/>
    <tableColumn id="3" xr3:uid="{7AA5AB5F-16AD-4493-B63B-4F3E1B6FDEEF}" name="Cost Per Unit (RM)" dataDxfId="595" totalsRowDxfId="596">
      <calculatedColumnFormula>IF(A23&lt;&gt;"",VLOOKUP(Table4183612[[#This Row],[Name]], PackagingTable[], 6, FALSE),"")</calculatedColumnFormula>
    </tableColumn>
    <tableColumn id="4" xr3:uid="{F8DC143C-A121-4AF6-A6CA-F43066D7E5BC}" name="Total Cost (RM)" totalsRowFunction="custom" dataDxfId="593" totalsRowDxfId="594">
      <calculatedColumnFormula>IF(Table4183612[[#This Row],[Name]]&lt;&gt;"",Table4183612[[#This Row],[Quantity]]*Table4183612[[#This Row],[Cost Per Unit (RM)]],"")</calculatedColumnFormula>
      <totalsRowFormula>SUM(Table4183612[Total Cost (RM)])</totalsRowFormula>
    </tableColumn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3C9214C-2C08-4879-B13F-7DB633911D14}" name="Table114193741" displayName="Table114193741" ref="A9:D12" totalsRowCount="1">
  <autoFilter ref="A9:D11" xr:uid="{52EF3BE0-44FD-7348-B971-54054A4F2090}"/>
  <tableColumns count="4">
    <tableColumn id="1" xr3:uid="{17A25688-EDFE-43E0-A6A2-E9CC1B10E7D5}" name="Name"/>
    <tableColumn id="2" xr3:uid="{61401CA3-589B-405D-A545-E817851ACE9B}" name="Quantity" dataDxfId="592"/>
    <tableColumn id="3" xr3:uid="{1766B715-4A26-4853-94CC-48E18026345A}" name="Cost Per Unit (RM)" dataDxfId="591">
      <calculatedColumnFormula>IF(A10&lt;&gt;"",VLOOKUP(Table114193741[[#This Row],[Name]], MixedIngredientTable[], 4, FALSE),"")</calculatedColumnFormula>
    </tableColumn>
    <tableColumn id="4" xr3:uid="{5A536C53-237E-446E-84BB-0E3EC5BCED57}" name="Total Cost (RM)" totalsRowFunction="custom" dataDxfId="589" totalsRowDxfId="590">
      <calculatedColumnFormula>IF(Table114193741[[#This Row],[Name]]&lt;&gt;"",Table114193741[[#This Row],[Quantity]]*Table114193741[[#This Row],[Cost Per Unit (RM)]],"")</calculatedColumnFormula>
      <totalsRowFormula>SUM(Table114193741[Total Cost (RM)])</totalsRowFormula>
    </tableColumn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C0DD4BD-C0DC-40FA-A0AC-49F6D52ED3AD}" name="Table11735945" displayName="Table11735945" ref="A15:D19" totalsRowCount="1">
  <autoFilter ref="A15:D18" xr:uid="{48F34297-3D1A-6F42-BDD9-7DAA7FCB178D}"/>
  <tableColumns count="4">
    <tableColumn id="1" xr3:uid="{8B615FB7-5E85-47D8-AAB9-B07A82D58599}" name="Name"/>
    <tableColumn id="2" xr3:uid="{D1AF21D0-FD9A-4086-BAD6-B727EA961674}" name="Quantity" dataDxfId="588"/>
    <tableColumn id="3" xr3:uid="{AB7D96DA-46BF-4CBE-8124-B88995568B11}" name="Cost Per Unit (RM)" dataDxfId="587">
      <calculatedColumnFormula>IF(A16&lt;&gt;"",VLOOKUP(Table11735945[[#This Row],[Name]], IngredientTable[], 6, FALSE),"")</calculatedColumnFormula>
    </tableColumn>
    <tableColumn id="4" xr3:uid="{BB4C668D-8D0B-4AF2-A264-787B3DD8E3F6}" name="Total Cost (RM)" totalsRowFunction="custom" dataDxfId="585" totalsRowDxfId="586">
      <calculatedColumnFormula>IF(Table11735945[[#This Row],[Name]]&lt;&gt;"",Table11735945[[#This Row],[Quantity]]*Table11735945[[#This Row],[Cost Per Unit (RM)]],"")</calculatedColumnFormula>
      <totalsRowFormula>SUM(Table11735945[Total Cost (RM)])</totalsRowFormula>
    </tableColumn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567C78E7-86CE-4BAD-8944-E51F8372FA02}" name="Table418361246" displayName="Table418361246" ref="A21:D25" totalsRowCount="1" dataDxfId="584">
  <autoFilter ref="A21:D24" xr:uid="{306A8484-A1E7-DB41-9B44-FE1489A8EA09}"/>
  <tableColumns count="4">
    <tableColumn id="1" xr3:uid="{1E6AF658-B823-4004-BBCF-80397A51409F}" name="Name" dataDxfId="582" totalsRowDxfId="583"/>
    <tableColumn id="2" xr3:uid="{CF7B317A-2C23-4AEB-AA09-5585FA37CEBF}" name="Quantity" dataDxfId="580" totalsRowDxfId="581"/>
    <tableColumn id="3" xr3:uid="{3CABAC55-83FC-48FB-84C2-FF04E5130D7B}" name="Cost Per Unit (RM)" dataDxfId="578" totalsRowDxfId="579">
      <calculatedColumnFormula>IF(A22&lt;&gt;"",VLOOKUP(Table418361246[[#This Row],[Name]], PackagingTable[], 6, FALSE),"")</calculatedColumnFormula>
    </tableColumn>
    <tableColumn id="4" xr3:uid="{1AAC72C2-2ABC-4819-A6DC-C28DAE8765D0}" name="Total Cost (RM)" totalsRowFunction="custom" dataDxfId="576" totalsRowDxfId="577">
      <calculatedColumnFormula>IF(Table418361246[[#This Row],[Name]]&lt;&gt;"",Table418361246[[#This Row],[Quantity]]*Table418361246[[#This Row],[Cost Per Unit (RM)]],"")</calculatedColumnFormula>
      <totalsRowFormula>SUM(Table418361246[Total Cost (RM)])</totalsRowFormula>
    </tableColumn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3DAE1A7-B6E3-4D28-871D-E0D657DC196F}" name="Table11419374147" displayName="Table11419374147" ref="A9:D12" totalsRowCount="1">
  <autoFilter ref="A9:D11" xr:uid="{52EF3BE0-44FD-7348-B971-54054A4F2090}"/>
  <tableColumns count="4">
    <tableColumn id="1" xr3:uid="{394B2490-F59E-4BBF-ACEC-54C68E14CBAD}" name="Name"/>
    <tableColumn id="2" xr3:uid="{263CEF21-16E0-4D5A-BAC1-CB9EE05E618E}" name="Quantity" dataDxfId="575"/>
    <tableColumn id="3" xr3:uid="{1DFC2FDC-BF1E-433E-BF28-3FE4DEB37AF1}" name="Cost Per Unit (RM)" dataDxfId="574">
      <calculatedColumnFormula>IF(A10&lt;&gt;"",VLOOKUP(Table11419374147[[#This Row],[Name]], MixedIngredientTable[], 4, FALSE),"")</calculatedColumnFormula>
    </tableColumn>
    <tableColumn id="4" xr3:uid="{14EB1DBB-58AA-49FC-8998-22612A71E846}" name="Total Cost (RM)" totalsRowFunction="custom" dataDxfId="572" totalsRowDxfId="573">
      <calculatedColumnFormula>IF(Table11419374147[[#This Row],[Name]]&lt;&gt;"",Table11419374147[[#This Row],[Quantity]]*Table11419374147[[#This Row],[Cost Per Unit (RM)]],"")</calculatedColumnFormula>
      <totalsRowFormula>SUM(Table11419374147[Total Cost (RM)])</totalsRowFormula>
    </tableColumn>
  </tableColumns>
  <tableStyleInfo name="TableStyleLight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0DF7858-5628-4811-9893-0EC64B1AD057}" name="Table1173594548" displayName="Table1173594548" ref="A15:D19" totalsRowCount="1">
  <autoFilter ref="A15:D18" xr:uid="{48F34297-3D1A-6F42-BDD9-7DAA7FCB178D}"/>
  <tableColumns count="4">
    <tableColumn id="1" xr3:uid="{5953E83C-9D49-4974-BAD3-7408980CF6B6}" name="Name"/>
    <tableColumn id="2" xr3:uid="{B95B7021-41DC-4FEB-85CC-D90481B16D26}" name="Quantity" dataDxfId="571"/>
    <tableColumn id="3" xr3:uid="{7015B2DE-87C8-4A80-92C4-57DFD7A1CDD6}" name="Cost Per Unit (RM)" dataDxfId="570">
      <calculatedColumnFormula>IF(A16&lt;&gt;"",VLOOKUP(Table1173594548[[#This Row],[Name]], IngredientTable[], 6, FALSE),"")</calculatedColumnFormula>
    </tableColumn>
    <tableColumn id="4" xr3:uid="{280D6FD4-92A9-407B-9F5A-50A9A97AD494}" name="Total Cost (RM)" totalsRowFunction="custom" dataDxfId="568" totalsRowDxfId="569">
      <calculatedColumnFormula>IF(Table1173594548[[#This Row],[Name]]&lt;&gt;"",Table1173594548[[#This Row],[Quantity]]*Table1173594548[[#This Row],[Cost Per Unit (RM)]],"")</calculatedColumnFormula>
      <totalsRowFormula>SUM(Table1173594548[Total Cost (RM)])</totalsRowFormula>
    </tableColumn>
  </tableColumns>
  <tableStyleInfo name="TableStyleLight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BEDE491-CABB-4A64-A538-ED51E9102CAF}" name="Table41836124649" displayName="Table41836124649" ref="A21:D25" totalsRowCount="1" dataDxfId="567">
  <autoFilter ref="A21:D24" xr:uid="{306A8484-A1E7-DB41-9B44-FE1489A8EA09}"/>
  <tableColumns count="4">
    <tableColumn id="1" xr3:uid="{242FE8EF-2054-4478-91AD-B54DAC6FE198}" name="Name" dataDxfId="565" totalsRowDxfId="566"/>
    <tableColumn id="2" xr3:uid="{0012B73A-F528-4802-9017-1580DEFCAD96}" name="Quantity" dataDxfId="563" totalsRowDxfId="564"/>
    <tableColumn id="3" xr3:uid="{E6E296B9-159D-4DA3-B3C4-C9351A409F76}" name="Cost Per Unit (RM)" dataDxfId="561" totalsRowDxfId="562">
      <calculatedColumnFormula>IF(A22&lt;&gt;"",VLOOKUP(Table41836124649[[#This Row],[Name]], PackagingTable[], 6, FALSE),"")</calculatedColumnFormula>
    </tableColumn>
    <tableColumn id="4" xr3:uid="{213D8FEE-B1B0-45F3-B635-24A5DEDC106E}" name="Total Cost (RM)" totalsRowFunction="custom" dataDxfId="559" totalsRowDxfId="560">
      <calculatedColumnFormula>IF(Table41836124649[[#This Row],[Name]]&lt;&gt;"",Table41836124649[[#This Row],[Quantity]]*Table41836124649[[#This Row],[Cost Per Unit (RM)]],"")</calculatedColumnFormula>
      <totalsRowFormula>SUM(Table41836124649[Total Cost (RM)])</totalsRowFormula>
    </tableColumn>
  </tableColumns>
  <tableStyleInfo name="TableStyleLight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07353DB-0E82-40B6-B307-BE7883FB71FE}" name="Table1141937414750" displayName="Table1141937414750" ref="A9:D12" totalsRowCount="1">
  <autoFilter ref="A9:D11" xr:uid="{52EF3BE0-44FD-7348-B971-54054A4F2090}"/>
  <tableColumns count="4">
    <tableColumn id="1" xr3:uid="{B614C676-0D82-4EED-9896-F08F2B38CDCA}" name="Name" totalsRowDxfId="558"/>
    <tableColumn id="2" xr3:uid="{7273204A-FF60-4BA6-BA25-968C25EDA506}" name="Quantity" dataDxfId="556" totalsRowDxfId="557"/>
    <tableColumn id="3" xr3:uid="{9BEB559C-481E-4591-92EC-A728AB63880C}" name="Cost Per Unit (RM)" dataDxfId="554" totalsRowDxfId="555">
      <calculatedColumnFormula>IF(A10&lt;&gt;"",VLOOKUP(Table1141937414750[[#This Row],[Name]], MixedIngredientTable[], 4, FALSE),"")</calculatedColumnFormula>
    </tableColumn>
    <tableColumn id="4" xr3:uid="{01B98334-24EF-4B31-9321-BCFD0E7DB338}" name="Total Cost (RM)" totalsRowFunction="custom" dataDxfId="552" totalsRowDxfId="553">
      <calculatedColumnFormula>IF(Table1141937414750[[#This Row],[Name]]&lt;&gt;"",Table1141937414750[[#This Row],[Quantity]]*Table1141937414750[[#This Row],[Cost Per Unit (RM)]],"")</calculatedColumnFormula>
      <totalsRowFormula>SUM(Table1141937414750[Total Cost (RM)])</totalsRowFormula>
    </tableColumn>
  </tableColumns>
  <tableStyleInfo name="TableStyleLight1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93C8B30-48FA-43D2-9017-71716E679771}" name="Table117359454851" displayName="Table117359454851" ref="A15:D19" totalsRowCount="1">
  <autoFilter ref="A15:D18" xr:uid="{48F34297-3D1A-6F42-BDD9-7DAA7FCB178D}"/>
  <tableColumns count="4">
    <tableColumn id="1" xr3:uid="{D9C99E5C-8ED5-4A90-A9FD-3CB046DE3C36}" name="Name"/>
    <tableColumn id="2" xr3:uid="{F5915934-4510-4DAE-91FA-98B76E4E7EF4}" name="Quantity" dataDxfId="551"/>
    <tableColumn id="3" xr3:uid="{8D5FEBE5-D520-4118-B5B5-154431E689EF}" name="Cost Per Unit (RM)" dataDxfId="550">
      <calculatedColumnFormula>IF(A16&lt;&gt;"",VLOOKUP(Table117359454851[[#This Row],[Name]], IngredientTable[], 6, FALSE),"")</calculatedColumnFormula>
    </tableColumn>
    <tableColumn id="4" xr3:uid="{7CD1FA65-B414-4C6C-AE19-8CBC198B6245}" name="Total Cost (RM)" totalsRowFunction="custom" dataDxfId="548" totalsRowDxfId="549">
      <calculatedColumnFormula>IF(Table117359454851[[#This Row],[Name]]&lt;&gt;"",Table117359454851[[#This Row],[Quantity]]*Table117359454851[[#This Row],[Cost Per Unit (RM)]],"")</calculatedColumnFormula>
      <totalsRowFormula>SUM(Table117359454851[Total Cost (RM)])</totalsRowFormula>
    </tableColumn>
  </tableColumns>
  <tableStyleInfo name="TableStyleLight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26A61EBF-7C7A-4EC0-A57B-12B5999E8066}" name="Table4183612464952" displayName="Table4183612464952" ref="A21:D25" totalsRowCount="1" dataDxfId="547">
  <autoFilter ref="A21:D24" xr:uid="{306A8484-A1E7-DB41-9B44-FE1489A8EA09}"/>
  <tableColumns count="4">
    <tableColumn id="1" xr3:uid="{D951031C-2611-443F-8331-8306908B4F41}" name="Name" dataDxfId="545" totalsRowDxfId="546"/>
    <tableColumn id="2" xr3:uid="{BBDED62F-2126-4BEE-BB46-2A00044B2E82}" name="Quantity" dataDxfId="543" totalsRowDxfId="544"/>
    <tableColumn id="3" xr3:uid="{66E9BE5D-3806-4DD5-9534-5AC351AE238B}" name="Cost Per Unit (RM)" dataDxfId="541" totalsRowDxfId="542">
      <calculatedColumnFormula>IF(A22&lt;&gt;"",VLOOKUP(Table4183612464952[[#This Row],[Name]], PackagingTable[], 6, FALSE),"")</calculatedColumnFormula>
    </tableColumn>
    <tableColumn id="4" xr3:uid="{6E4ED6D3-AE23-4BBC-99DE-4076F346631A}" name="Total Cost (RM)" totalsRowFunction="custom" dataDxfId="539" totalsRowDxfId="540">
      <calculatedColumnFormula>IF(Table4183612464952[[#This Row],[Name]]&lt;&gt;"",Table4183612464952[[#This Row],[Quantity]]*Table4183612464952[[#This Row],[Cost Per Unit (RM)]],"")</calculatedColumnFormula>
      <totalsRowFormula>SUM(Table4183612464952[Total Cost (RM)])</totalsRowFormula>
    </tableColumn>
  </tableColumns>
  <tableStyleInfo name="TableStyleLight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5BB5B10-1F7D-4BCC-8722-EBC026637CB6}" name="Table114193741475053" displayName="Table114193741475053" ref="A9:D12" totalsRowCount="1">
  <autoFilter ref="A9:D11" xr:uid="{52EF3BE0-44FD-7348-B971-54054A4F2090}"/>
  <tableColumns count="4">
    <tableColumn id="1" xr3:uid="{55C35ECD-9BD9-493D-9FF6-BC159B397719}" name="Name"/>
    <tableColumn id="2" xr3:uid="{DD6DC1ED-97CB-49F1-A58E-27C3808025D4}" name="Quantity" dataDxfId="538"/>
    <tableColumn id="3" xr3:uid="{9BDBE311-477C-4DC8-89F7-101D29DB1F1B}" name="Cost Per Unit (RM)" dataDxfId="537">
      <calculatedColumnFormula>IF(A10&lt;&gt;"",VLOOKUP(Table114193741475053[[#This Row],[Name]], MixedIngredientTable[], 4, FALSE),"")</calculatedColumnFormula>
    </tableColumn>
    <tableColumn id="4" xr3:uid="{5C1702DC-A124-45B5-8DA5-04C9CA669084}" name="Total Cost (RM)" totalsRowFunction="custom" dataDxfId="535" totalsRowDxfId="536">
      <calculatedColumnFormula>IF(Table114193741475053[[#This Row],[Name]]&lt;&gt;"",Table114193741475053[[#This Row],[Quantity]]*Table114193741475053[[#This Row],[Cost Per Unit (RM)]],"")</calculatedColumnFormula>
      <totalsRowFormula>SUM(Table114193741475053[Total Cost (RM)])</totalsRowFormula>
    </tableColumn>
  </tableColumns>
  <tableStyleInfo name="TableStyleLight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5D7A973-1030-43BE-A803-2C6704509E38}" name="Table11735945485154" displayName="Table11735945485154" ref="A15:D19" totalsRowCount="1">
  <autoFilter ref="A15:D18" xr:uid="{48F34297-3D1A-6F42-BDD9-7DAA7FCB178D}"/>
  <tableColumns count="4">
    <tableColumn id="1" xr3:uid="{AE16622F-8F86-4C39-9198-1BEEF1CE3B4E}" name="Name"/>
    <tableColumn id="2" xr3:uid="{DFCB6876-2DC8-4CAA-8A76-2FDCAE5AF78A}" name="Quantity" dataDxfId="534"/>
    <tableColumn id="3" xr3:uid="{6788D2D6-851D-450C-8C52-94E5B9B4704A}" name="Cost Per Unit (RM)" dataDxfId="533">
      <calculatedColumnFormula>IF(A16&lt;&gt;"",VLOOKUP(Table11735945485154[[#This Row],[Name]], IngredientTable[], 6, FALSE),"")</calculatedColumnFormula>
    </tableColumn>
    <tableColumn id="4" xr3:uid="{1876B861-8F14-4FCE-AF48-3890D50B184F}" name="Total Cost (RM)" totalsRowFunction="custom" dataDxfId="531" totalsRowDxfId="532">
      <calculatedColumnFormula>IF(Table11735945485154[[#This Row],[Name]]&lt;&gt;"",Table11735945485154[[#This Row],[Quantity]]*Table11735945485154[[#This Row],[Cost Per Unit (RM)]],"")</calculatedColumnFormula>
      <totalsRowFormula>SUM(Table11735945485154[Total Cost (RM)])</totalsRowFormula>
    </tableColumn>
  </tableColumns>
  <tableStyleInfo name="TableStyleLight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BB051A53-6491-4881-8F14-FF3E26A19475}" name="Table418361246495255" displayName="Table418361246495255" ref="A21:D25" totalsRowCount="1" dataDxfId="530">
  <autoFilter ref="A21:D24" xr:uid="{306A8484-A1E7-DB41-9B44-FE1489A8EA09}"/>
  <tableColumns count="4">
    <tableColumn id="1" xr3:uid="{851FA3B1-5D36-48F2-9940-BA6482246E35}" name="Name" dataDxfId="528" totalsRowDxfId="529"/>
    <tableColumn id="2" xr3:uid="{16A771A9-463B-42F2-B659-41F0D48766B0}" name="Quantity" dataDxfId="526" totalsRowDxfId="527"/>
    <tableColumn id="3" xr3:uid="{6C483E1B-89E1-41D4-A038-32FF45DB5011}" name="Cost Per Unit (RM)" dataDxfId="524" totalsRowDxfId="525">
      <calculatedColumnFormula>IF(A22&lt;&gt;"",VLOOKUP(Table418361246495255[[#This Row],[Name]], PackagingTable[], 6, FALSE),"")</calculatedColumnFormula>
    </tableColumn>
    <tableColumn id="4" xr3:uid="{04526333-6042-4F33-A408-05D57B95621A}" name="Total Cost (RM)" totalsRowFunction="custom" dataDxfId="522" totalsRowDxfId="523">
      <calculatedColumnFormula>IF(Table418361246495255[[#This Row],[Name]]&lt;&gt;"",Table418361246495255[[#This Row],[Quantity]]*Table418361246495255[[#This Row],[Cost Per Unit (RM)]],"")</calculatedColumnFormula>
      <totalsRowFormula>SUM(Table418361246495255[Total Cost (RM)])</totalsRowFormula>
    </tableColumn>
  </tableColumns>
  <tableStyleInfo name="TableStyleLight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61830A4-1EB4-4A58-836C-8B4B674C2E91}" name="Table11419374147505356" displayName="Table11419374147505356" ref="A9:D12" totalsRowCount="1">
  <autoFilter ref="A9:D11" xr:uid="{52EF3BE0-44FD-7348-B971-54054A4F2090}"/>
  <tableColumns count="4">
    <tableColumn id="1" xr3:uid="{2D1CFC2B-3A3D-469A-B7A5-734965817F71}" name="Name"/>
    <tableColumn id="2" xr3:uid="{66E0115D-CE55-4182-9EF3-1051EBF3EF64}" name="Quantity" dataDxfId="521"/>
    <tableColumn id="3" xr3:uid="{4C791FDF-0918-4828-AB56-A2FE18AECEA9}" name="Cost Per Unit (RM)" dataDxfId="520">
      <calculatedColumnFormula>IF(A10&lt;&gt;"",VLOOKUP(Table11419374147505356[[#This Row],[Name]], MixedIngredientTable[], 4, FALSE),"")</calculatedColumnFormula>
    </tableColumn>
    <tableColumn id="4" xr3:uid="{E1FEC2CB-AEE1-4064-9A39-98EE1BF5789A}" name="Total Cost (RM)" totalsRowFunction="custom" dataDxfId="518" totalsRowDxfId="519">
      <calculatedColumnFormula>IF(Table11419374147505356[[#This Row],[Name]]&lt;&gt;"",Table11419374147505356[[#This Row],[Quantity]]*Table11419374147505356[[#This Row],[Cost Per Unit (RM)]],"")</calculatedColumnFormula>
      <totalsRowFormula>SUM(Table11419374147505356[Total Cost (RM)])</totalsRowFormula>
    </tableColumn>
  </tableColumns>
  <tableStyleInfo name="TableStyleLight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23B549C5-3C54-412E-9215-42D40E461052}" name="Table117359454851545760" displayName="Table117359454851545760" ref="A15:D20" totalsRowCount="1">
  <autoFilter ref="A15:D19" xr:uid="{48F34297-3D1A-6F42-BDD9-7DAA7FCB178D}"/>
  <tableColumns count="4">
    <tableColumn id="1" xr3:uid="{294CED52-3178-4652-8EF0-67819E3B84B2}" name="Name"/>
    <tableColumn id="2" xr3:uid="{EB070E12-6E75-48C2-ACFF-1B1622926937}" name="Quantity" dataDxfId="517"/>
    <tableColumn id="3" xr3:uid="{82D863CA-AD20-4D29-95C7-D02E34DD8E71}" name="Cost Per Unit (RM)" dataDxfId="516">
      <calculatedColumnFormula>IF(A16&lt;&gt;"",VLOOKUP(Table117359454851545760[[#This Row],[Name]], IngredientTable[], 6, FALSE),"")</calculatedColumnFormula>
    </tableColumn>
    <tableColumn id="4" xr3:uid="{49E5D2CF-52C0-4FA8-9591-5F377AEFBFD6}" name="Total Cost (RM)" totalsRowFunction="custom" dataDxfId="514" totalsRowDxfId="515">
      <calculatedColumnFormula>IF(Table117359454851545760[[#This Row],[Name]]&lt;&gt;"",Table117359454851545760[[#This Row],[Quantity]]*Table117359454851545760[[#This Row],[Cost Per Unit (RM)]],"")</calculatedColumnFormula>
      <totalsRowFormula>SUM(Table117359454851545760[Total Cost (RM)])</totalsRowFormula>
    </tableColumn>
  </tableColumns>
  <tableStyleInfo name="TableStyleLight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8D8F67FA-1BFB-4427-9284-8F405FD8B7CF}" name="Table4183612464952555861" displayName="Table4183612464952555861" ref="A22:D26" totalsRowCount="1" dataDxfId="513">
  <autoFilter ref="A22:D25" xr:uid="{306A8484-A1E7-DB41-9B44-FE1489A8EA09}"/>
  <tableColumns count="4">
    <tableColumn id="1" xr3:uid="{6940B11D-85EC-4B12-8374-815B547F6E16}" name="Name" dataDxfId="511" totalsRowDxfId="512"/>
    <tableColumn id="2" xr3:uid="{97ED1DE3-4CFD-4BA3-BF3E-967B1737A739}" name="Quantity" dataDxfId="509" totalsRowDxfId="510"/>
    <tableColumn id="3" xr3:uid="{67CB3943-ACB1-422C-A5CC-E3E2ACEF6204}" name="Cost Per Unit (RM)" dataDxfId="507" totalsRowDxfId="508">
      <calculatedColumnFormula>IF(A23&lt;&gt;"",VLOOKUP(Table4183612464952555861[[#This Row],[Name]], PackagingTable[], 6, FALSE),"")</calculatedColumnFormula>
    </tableColumn>
    <tableColumn id="4" xr3:uid="{3A7490AA-0ED0-4521-8191-ECBE6DE6A234}" name="Total Cost (RM)" totalsRowFunction="custom" dataDxfId="505" totalsRowDxfId="506">
      <calculatedColumnFormula>IF(Table4183612464952555861[[#This Row],[Name]]&lt;&gt;"",Table4183612464952555861[[#This Row],[Quantity]]*Table4183612464952555861[[#This Row],[Cost Per Unit (RM)]],"")</calculatedColumnFormula>
      <totalsRowFormula>SUM(Table4183612464952555861[Total Cost (RM)])</totalsRowFormula>
    </tableColumn>
  </tableColumns>
  <tableStyleInfo name="TableStyleLight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8CA2732B-E125-467F-A1B9-FE9E95B07707}" name="Table114193741475053565962" displayName="Table114193741475053565962" ref="A9:D12" totalsRowCount="1">
  <autoFilter ref="A9:D11" xr:uid="{52EF3BE0-44FD-7348-B971-54054A4F2090}"/>
  <tableColumns count="4">
    <tableColumn id="1" xr3:uid="{F2185E2A-ADB0-4585-9640-2B1C3AE02568}" name="Name"/>
    <tableColumn id="2" xr3:uid="{042313D4-73AE-4D85-BB62-29FD3C992A7C}" name="Quantity" dataDxfId="504"/>
    <tableColumn id="3" xr3:uid="{0EA55A00-F3B8-4BE6-BE16-F61D28D32E66}" name="Cost Per Unit (RM)" dataDxfId="503">
      <calculatedColumnFormula>IF(A10&lt;&gt;"",VLOOKUP(Table114193741475053565962[[#This Row],[Name]], MixedIngredientTable[], 4, FALSE),"")</calculatedColumnFormula>
    </tableColumn>
    <tableColumn id="4" xr3:uid="{9E204A56-C94D-42D0-B378-F1922226E7ED}" name="Total Cost (RM)" totalsRowFunction="custom" dataDxfId="501" totalsRowDxfId="502">
      <calculatedColumnFormula>IF(Table114193741475053565962[[#This Row],[Name]]&lt;&gt;"",Table114193741475053565962[[#This Row],[Quantity]]*Table114193741475053565962[[#This Row],[Cost Per Unit (RM)]],"")</calculatedColumnFormula>
      <totalsRowFormula>SUM(Table114193741475053565962[Total Cost (RM)])</totalsRowFormula>
    </tableColumn>
  </tableColumns>
  <tableStyleInfo name="TableStyleLight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7CFB530F-F817-49D1-982D-27DF1D596B9A}" name="Table117359454851545760133" displayName="Table117359454851545760133" ref="A15:D20" totalsRowCount="1">
  <autoFilter ref="A15:D19" xr:uid="{48F34297-3D1A-6F42-BDD9-7DAA7FCB178D}"/>
  <tableColumns count="4">
    <tableColumn id="1" xr3:uid="{FD9E19C5-CFD0-4469-920D-D1CB8464C300}" name="Name"/>
    <tableColumn id="2" xr3:uid="{4821E256-68B7-47E1-B8AC-950AEF52F7E4}" name="Quantity" dataDxfId="500"/>
    <tableColumn id="3" xr3:uid="{E640F2F2-652A-47C3-8FFF-7EDE2DF876DF}" name="Cost Per Unit (RM)" dataDxfId="499">
      <calculatedColumnFormula>IF(A16&lt;&gt;"",VLOOKUP(Table117359454851545760133[[#This Row],[Name]], IngredientTable[], 6, FALSE),"")</calculatedColumnFormula>
    </tableColumn>
    <tableColumn id="4" xr3:uid="{33388D97-21FA-407C-B542-5A76F23B09E9}" name="Total Cost (RM)" totalsRowFunction="custom" dataDxfId="497" totalsRowDxfId="498">
      <calculatedColumnFormula>IF(Table117359454851545760133[[#This Row],[Name]]&lt;&gt;"",Table117359454851545760133[[#This Row],[Quantity]]*Table117359454851545760133[[#This Row],[Cost Per Unit (RM)]],"")</calculatedColumnFormula>
      <totalsRowFormula>SUM(Table117359454851545760133[Total Cost (RM)])</totalsRowFormula>
    </tableColumn>
  </tableColumns>
  <tableStyleInfo name="TableStyleLight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1A955E38-5E74-4239-A22A-6663E276FAEC}" name="Table4183612464952555861134" displayName="Table4183612464952555861134" ref="A22:D26" totalsRowCount="1" dataDxfId="496">
  <autoFilter ref="A22:D25" xr:uid="{306A8484-A1E7-DB41-9B44-FE1489A8EA09}"/>
  <tableColumns count="4">
    <tableColumn id="1" xr3:uid="{44C6884C-0B8B-409F-825E-11EC0E120B11}" name="Name" dataDxfId="494" totalsRowDxfId="495"/>
    <tableColumn id="2" xr3:uid="{BEBD8C6A-65B1-48E9-8207-408107213398}" name="Quantity" dataDxfId="492" totalsRowDxfId="493"/>
    <tableColumn id="3" xr3:uid="{FD249F5D-B383-479B-988F-2421705DC876}" name="Cost Per Unit (RM)" dataDxfId="490" totalsRowDxfId="491">
      <calculatedColumnFormula>IF(A23&lt;&gt;"",VLOOKUP(Table4183612464952555861134[[#This Row],[Name]], PackagingTable[], 6, FALSE),"")</calculatedColumnFormula>
    </tableColumn>
    <tableColumn id="4" xr3:uid="{2D0CC637-6E27-4894-84FB-FB36F3521961}" name="Total Cost (RM)" totalsRowFunction="custom" dataDxfId="488" totalsRowDxfId="489">
      <calculatedColumnFormula>IF(Table4183612464952555861134[[#This Row],[Name]]&lt;&gt;"",Table4183612464952555861134[[#This Row],[Quantity]]*Table4183612464952555861134[[#This Row],[Cost Per Unit (RM)]],"")</calculatedColumnFormula>
      <totalsRowFormula>SUM(Table4183612464952555861134[Total Cost (RM)])</totalsRowFormula>
    </tableColumn>
  </tableColumns>
  <tableStyleInfo name="TableStyleLight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BC591E99-C365-4A4E-B653-4F4C0A38AF3C}" name="Table114193741475053565962135" displayName="Table114193741475053565962135" ref="A9:D12" totalsRowCount="1">
  <autoFilter ref="A9:D11" xr:uid="{52EF3BE0-44FD-7348-B971-54054A4F2090}"/>
  <tableColumns count="4">
    <tableColumn id="1" xr3:uid="{4FF1F9F3-20D8-42C3-8D9C-DE00FD249B62}" name="Name"/>
    <tableColumn id="2" xr3:uid="{C47AD1B2-ED95-4321-A034-FFD1BD8C3564}" name="Quantity" dataDxfId="487"/>
    <tableColumn id="3" xr3:uid="{41EA4A7F-8607-4045-A9E3-48EE67D6999D}" name="Cost Per Unit (RM)" dataDxfId="486">
      <calculatedColumnFormula>IF(A10&lt;&gt;"",VLOOKUP(Table114193741475053565962135[[#This Row],[Name]], MixedIngredientTable[], 4, FALSE),"")</calculatedColumnFormula>
    </tableColumn>
    <tableColumn id="4" xr3:uid="{004AB33F-2862-4999-871B-60798C4EA6EE}" name="Total Cost (RM)" totalsRowFunction="custom" dataDxfId="484" totalsRowDxfId="485">
      <calculatedColumnFormula>IF(Table114193741475053565962135[[#This Row],[Name]]&lt;&gt;"",Table114193741475053565962135[[#This Row],[Quantity]]*Table114193741475053565962135[[#This Row],[Cost Per Unit (RM)]],"")</calculatedColumnFormula>
      <totalsRowFormula>SUM(Table114193741475053565962135[Total Cost (RM)])</totalsRowFormula>
    </tableColumn>
  </tableColumns>
  <tableStyleInfo name="TableStyleLight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45F2A3C-77D3-4047-9997-7F6BEE82547C}" name="Table11735945485154576063" displayName="Table11735945485154576063" ref="A15:D20" totalsRowCount="1">
  <autoFilter ref="A15:D19" xr:uid="{48F34297-3D1A-6F42-BDD9-7DAA7FCB178D}"/>
  <tableColumns count="4">
    <tableColumn id="1" xr3:uid="{FAD02329-ABCC-4D8E-9F73-FA92A0B11A61}" name="Name"/>
    <tableColumn id="2" xr3:uid="{95F44DAC-7CAE-45D5-A91C-C8F8DFC4F932}" name="Quantity" dataDxfId="483"/>
    <tableColumn id="3" xr3:uid="{B8312769-4D13-4D5F-A879-B02718FC1DFD}" name="Cost Per Unit (RM)" dataDxfId="482">
      <calculatedColumnFormula>IF(A16&lt;&gt;"",VLOOKUP(Table11735945485154576063[[#This Row],[Name]], IngredientTable[], 6, FALSE),"")</calculatedColumnFormula>
    </tableColumn>
    <tableColumn id="4" xr3:uid="{6D72DE0A-8436-427F-AA00-0BB70EE1AD6D}" name="Total Cost (RM)" totalsRowFunction="custom" dataDxfId="480" totalsRowDxfId="481">
      <calculatedColumnFormula>IF(Table11735945485154576063[[#This Row],[Name]]&lt;&gt;"",Table11735945485154576063[[#This Row],[Quantity]]*Table11735945485154576063[[#This Row],[Cost Per Unit (RM)]],"")</calculatedColumnFormula>
      <totalsRowFormula>SUM(Table11735945485154576063[Total Cost (RM)])</totalsRowFormula>
    </tableColumn>
  </tableColumns>
  <tableStyleInfo name="TableStyleLight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3EB7521-3B68-4DF4-8AEA-146CC624AB2F}" name="Table418361246495255586164" displayName="Table418361246495255586164" ref="A22:D26" totalsRowCount="1" dataDxfId="479">
  <autoFilter ref="A22:D25" xr:uid="{306A8484-A1E7-DB41-9B44-FE1489A8EA09}"/>
  <tableColumns count="4">
    <tableColumn id="1" xr3:uid="{3B6242BD-AC9B-4572-814F-CA08D747E358}" name="Name" dataDxfId="477" totalsRowDxfId="478"/>
    <tableColumn id="2" xr3:uid="{CCC4610C-1683-4887-9E66-8003907B0FB4}" name="Quantity" dataDxfId="475" totalsRowDxfId="476"/>
    <tableColumn id="3" xr3:uid="{BC755045-10A6-49EA-BF9A-8914403BFDC2}" name="Cost Per Unit (RM)" dataDxfId="473" totalsRowDxfId="474">
      <calculatedColumnFormula>IF(A23&lt;&gt;"",VLOOKUP(Table418361246495255586164[[#This Row],[Name]], PackagingTable[], 6, FALSE),"")</calculatedColumnFormula>
    </tableColumn>
    <tableColumn id="4" xr3:uid="{E72E8ED1-1D4C-457D-9E2D-A738F44F295B}" name="Total Cost (RM)" totalsRowFunction="custom" dataDxfId="471" totalsRowDxfId="472">
      <calculatedColumnFormula>IF(Table418361246495255586164[[#This Row],[Name]]&lt;&gt;"",Table418361246495255586164[[#This Row],[Quantity]]*Table418361246495255586164[[#This Row],[Cost Per Unit (RM)]],"")</calculatedColumnFormula>
      <totalsRowFormula>SUM(Table418361246495255586164[Total Cost (RM)])</totalsRowFormula>
    </tableColumn>
  </tableColumns>
  <tableStyleInfo name="TableStyleLight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96752B1-E864-4A97-9ECA-AB8569295D48}" name="Table11419374147505356596265" displayName="Table11419374147505356596265" ref="A9:D12" totalsRowCount="1">
  <autoFilter ref="A9:D11" xr:uid="{52EF3BE0-44FD-7348-B971-54054A4F2090}"/>
  <tableColumns count="4">
    <tableColumn id="1" xr3:uid="{6E966972-321E-4772-ACA3-DDB5333B581C}" name="Name" totalsRowDxfId="470"/>
    <tableColumn id="2" xr3:uid="{30416CFF-82CD-456F-A3C0-C933AF238237}" name="Quantity" dataDxfId="468" totalsRowDxfId="469"/>
    <tableColumn id="3" xr3:uid="{F3299681-7259-460A-A1D3-EB44AE1A0A86}" name="Cost Per Unit (RM)" dataDxfId="466" totalsRowDxfId="467">
      <calculatedColumnFormula>IF(A10&lt;&gt;"",VLOOKUP(Table11419374147505356596265[[#This Row],[Name]], MixedIngredientTable[], 4, FALSE),"")</calculatedColumnFormula>
    </tableColumn>
    <tableColumn id="4" xr3:uid="{0EBC2AD6-D265-46AF-98BB-C2D15992CB04}" name="Total Cost (RM)" totalsRowFunction="custom" dataDxfId="464" totalsRowDxfId="465">
      <calculatedColumnFormula>IF(Table11419374147505356596265[[#This Row],[Name]]&lt;&gt;"",Table11419374147505356596265[[#This Row],[Quantity]]*Table11419374147505356596265[[#This Row],[Cost Per Unit (RM)]],"")</calculatedColumnFormula>
      <totalsRowFormula>SUM(Table11419374147505356596265[Total Cost (RM)])</totalsRowFormula>
    </tableColumn>
  </tableColumns>
  <tableStyleInfo name="TableStyleLight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1CB803B-D251-4EE7-B63D-415A4FE75FAB}" name="Table1173594548515457" displayName="Table1173594548515457" ref="A15:D22" totalsRowCount="1">
  <autoFilter ref="A15:D21" xr:uid="{48F34297-3D1A-6F42-BDD9-7DAA7FCB178D}"/>
  <tableColumns count="4">
    <tableColumn id="1" xr3:uid="{328042BC-C9EC-47E9-8EC3-08F329DD9D8B}" name="Name"/>
    <tableColumn id="2" xr3:uid="{4025FD25-40A7-400E-A0BE-56C3B907BD9A}" name="Quantity" dataDxfId="463"/>
    <tableColumn id="3" xr3:uid="{2A5EEE7D-48C6-498F-9665-89FD37CB0C77}" name="Cost Per Unit (RM)" dataDxfId="462">
      <calculatedColumnFormula>IF(A16&lt;&gt;"",VLOOKUP(Table1173594548515457[[#This Row],[Name]], IngredientTable[], 6, FALSE),"")</calculatedColumnFormula>
    </tableColumn>
    <tableColumn id="4" xr3:uid="{53F8E790-21A6-4CBB-B8D7-EC19371BA7BB}" name="Total Cost (RM)" totalsRowFunction="custom" dataDxfId="460" totalsRowDxfId="461">
      <calculatedColumnFormula>IF(Table1173594548515457[[#This Row],[Name]]&lt;&gt;"",Table1173594548515457[[#This Row],[Quantity]]*Table1173594548515457[[#This Row],[Cost Per Unit (RM)]],"")</calculatedColumnFormula>
      <totalsRowFormula>SUM(Table1173594548515457[Total Cost (RM)])</totalsRowFormula>
    </tableColumn>
  </tableColumns>
  <tableStyleInfo name="TableStyleLight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85F74E9-B0AD-4A9D-9578-3F895B344768}" name="Table41836124649525558" displayName="Table41836124649525558" ref="A24:D28" totalsRowCount="1" dataDxfId="459">
  <autoFilter ref="A24:D27" xr:uid="{306A8484-A1E7-DB41-9B44-FE1489A8EA09}"/>
  <tableColumns count="4">
    <tableColumn id="1" xr3:uid="{77155376-E05C-4C41-AAD9-9238034742F8}" name="Name" dataDxfId="457" totalsRowDxfId="458"/>
    <tableColumn id="2" xr3:uid="{4FA84A02-6436-4E4C-98E0-D2B154341597}" name="Quantity" dataDxfId="455" totalsRowDxfId="456"/>
    <tableColumn id="3" xr3:uid="{B8C287C8-ACFD-4DDF-8971-E7448AB565F0}" name="Cost Per Unit (RM)" dataDxfId="453" totalsRowDxfId="454">
      <calculatedColumnFormula>IF(A25&lt;&gt;"",VLOOKUP(Table41836124649525558[[#This Row],[Name]], PackagingTable[], 6, FALSE),"")</calculatedColumnFormula>
    </tableColumn>
    <tableColumn id="4" xr3:uid="{6D03866C-835A-44D1-BB6D-B580F454E969}" name="Total Cost (RM)" totalsRowFunction="custom" dataDxfId="451" totalsRowDxfId="452">
      <calculatedColumnFormula>IF(Table41836124649525558[[#This Row],[Name]]&lt;&gt;"",Table41836124649525558[[#This Row],[Quantity]]*Table41836124649525558[[#This Row],[Cost Per Unit (RM)]],"")</calculatedColumnFormula>
      <totalsRowFormula>SUM(Table41836124649525558[Total Cost (RM)])</totalsRowFormula>
    </tableColumn>
  </tableColumns>
  <tableStyleInfo name="TableStyleLight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F012AADD-EA02-42B2-8DAE-56A83B091370}" name="Table1141937414750535659" displayName="Table1141937414750535659" ref="A9:D12" totalsRowCount="1">
  <autoFilter ref="A9:D11" xr:uid="{52EF3BE0-44FD-7348-B971-54054A4F2090}"/>
  <tableColumns count="4">
    <tableColumn id="1" xr3:uid="{021A4262-1E7A-446F-A36E-99DD5972729A}" name="Name"/>
    <tableColumn id="2" xr3:uid="{556E336F-7049-40C7-B8EC-75DF01D84C86}" name="Quantity" dataDxfId="450"/>
    <tableColumn id="3" xr3:uid="{36B85C8C-D066-4452-B995-829CBDA323AC}" name="Cost Per Unit (RM)" dataDxfId="449">
      <calculatedColumnFormula>IF(A10&lt;&gt;"",VLOOKUP(Table1141937414750535659[[#This Row],[Name]], MixedIngredientTable[], 4, FALSE),"")</calculatedColumnFormula>
    </tableColumn>
    <tableColumn id="4" xr3:uid="{172DEC7A-681E-42F1-B1EA-4F492C71D6C8}" name="Total Cost (RM)" totalsRowFunction="custom" dataDxfId="447" totalsRowDxfId="448">
      <calculatedColumnFormula>IF(Table1141937414750535659[[#This Row],[Name]]&lt;&gt;"",Table1141937414750535659[[#This Row],[Quantity]]*Table1141937414750535659[[#This Row],[Cost Per Unit (RM)]],"")</calculatedColumnFormula>
      <totalsRowFormula>SUM(Table1141937414750535659[Total Cost (RM)])</totalsRowFormula>
    </tableColumn>
  </tableColumns>
  <tableStyleInfo name="TableStyleLight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5880503-590D-4AD6-AF6C-2AD4D96F0B3F}" name="Table1173594548515457606366" displayName="Table1173594548515457606366" ref="A15:D21" totalsRowCount="1">
  <autoFilter ref="A15:D20" xr:uid="{48F34297-3D1A-6F42-BDD9-7DAA7FCB178D}"/>
  <tableColumns count="4">
    <tableColumn id="1" xr3:uid="{98363FA3-B337-4C09-AC88-FDC8A4BB0FD0}" name="Name"/>
    <tableColumn id="2" xr3:uid="{8FD23DE8-3053-442B-8366-9F5FC90D97F3}" name="Quantity" dataDxfId="446"/>
    <tableColumn id="3" xr3:uid="{D46A6A52-57D9-4434-9899-36BC2145128C}" name="Cost Per Unit (RM)" dataDxfId="445">
      <calculatedColumnFormula>IF(A16&lt;&gt;"",VLOOKUP(Table1173594548515457606366[[#This Row],[Name]], IngredientTable[], 6, FALSE),"")</calculatedColumnFormula>
    </tableColumn>
    <tableColumn id="4" xr3:uid="{DC60387D-30DB-4EC1-BEE2-67DD56B8392E}" name="Total Cost (RM)" totalsRowFunction="custom" dataDxfId="443" totalsRowDxfId="444">
      <calculatedColumnFormula>IF(Table1173594548515457606366[[#This Row],[Name]]&lt;&gt;"",Table1173594548515457606366[[#This Row],[Quantity]]*Table1173594548515457606366[[#This Row],[Cost Per Unit (RM)]],"")</calculatedColumnFormula>
      <totalsRowFormula>SUM(Table1173594548515457606366[Total Cost (RM)])</totalsRowFormula>
    </tableColumn>
  </tableColumns>
  <tableStyleInfo name="TableStyleLight1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4CCA5AA-BDF2-4675-AAF4-A95320228E5B}" name="Table41836124649525558616467" displayName="Table41836124649525558616467" ref="A23:D27" totalsRowCount="1" dataDxfId="442">
  <autoFilter ref="A23:D26" xr:uid="{306A8484-A1E7-DB41-9B44-FE1489A8EA09}"/>
  <tableColumns count="4">
    <tableColumn id="1" xr3:uid="{3472883C-8B8D-4231-9D39-DECBCA6A66CF}" name="Name" dataDxfId="440" totalsRowDxfId="441"/>
    <tableColumn id="2" xr3:uid="{808607EB-7AF8-4EF8-9D9B-A5CBD2BEB447}" name="Quantity" dataDxfId="438" totalsRowDxfId="439"/>
    <tableColumn id="3" xr3:uid="{869C84B7-FE02-4237-8B9F-5C78A74B35C3}" name="Cost Per Unit (RM)" dataDxfId="436" totalsRowDxfId="437">
      <calculatedColumnFormula>IF(A24&lt;&gt;"",VLOOKUP(Table41836124649525558616467[[#This Row],[Name]], PackagingTable[], 6, FALSE),"")</calculatedColumnFormula>
    </tableColumn>
    <tableColumn id="4" xr3:uid="{3DA7FB79-938A-4D67-A5AA-3A8085C02B51}" name="Total Cost (RM)" totalsRowFunction="custom" dataDxfId="434" totalsRowDxfId="435">
      <calculatedColumnFormula>IF(Table41836124649525558616467[[#This Row],[Name]]&lt;&gt;"",Table41836124649525558616467[[#This Row],[Quantity]]*Table41836124649525558616467[[#This Row],[Cost Per Unit (RM)]],"")</calculatedColumnFormula>
      <totalsRowFormula>SUM(Table41836124649525558616467[Total Cost (RM)])</totalsRowFormula>
    </tableColumn>
  </tableColumns>
  <tableStyleInfo name="TableStyleLight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FF797859-23FF-4ED4-9F3F-C970A882D1DD}" name="Table1141937414750535659626568" displayName="Table1141937414750535659626568" ref="A9:D12" totalsRowCount="1">
  <autoFilter ref="A9:D11" xr:uid="{52EF3BE0-44FD-7348-B971-54054A4F2090}"/>
  <tableColumns count="4">
    <tableColumn id="1" xr3:uid="{E703C807-5619-42EA-ACB6-94578B928669}" name="Name"/>
    <tableColumn id="2" xr3:uid="{9F893A13-6B03-4C85-B42E-77EE514B6ABB}" name="Quantity" dataDxfId="433"/>
    <tableColumn id="3" xr3:uid="{D8152C16-9A0C-4D35-A00C-F9AFC49BB0F6}" name="Cost Per Unit (RM)" dataDxfId="432">
      <calculatedColumnFormula>IF(A10&lt;&gt;"",VLOOKUP(Table1141937414750535659626568[[#This Row],[Name]], MixedIngredientTable[], 4, FALSE),"")</calculatedColumnFormula>
    </tableColumn>
    <tableColumn id="4" xr3:uid="{60F153D7-8901-4B63-A51B-F007F29FAAFF}" name="Total Cost (RM)" totalsRowFunction="custom" dataDxfId="430" totalsRowDxfId="431">
      <calculatedColumnFormula>IF(Table1141937414750535659626568[[#This Row],[Name]]&lt;&gt;"",Table1141937414750535659626568[[#This Row],[Quantity]]*Table1141937414750535659626568[[#This Row],[Cost Per Unit (RM)]],"")</calculatedColumnFormula>
      <totalsRowFormula>SUM(Table1141937414750535659626568[Total Cost (RM)])</totalsRowFormula>
    </tableColumn>
  </tableColumns>
  <tableStyleInfo name="TableStyleLight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74935F5-C325-A349-A5B6-B801D4F9ABF6}" name="Table1173538" displayName="Table1173538" ref="A15:D19" totalsRowCount="1">
  <autoFilter ref="A15:D18" xr:uid="{48F34297-3D1A-6F42-BDD9-7DAA7FCB178D}"/>
  <tableColumns count="4">
    <tableColumn id="1" xr3:uid="{B32649D6-50E5-5441-AE50-10F471682393}" name="Name"/>
    <tableColumn id="2" xr3:uid="{7E6C07DC-186B-EF45-B6D6-503E28657489}" name="Quantity" dataDxfId="429"/>
    <tableColumn id="3" xr3:uid="{5CF95852-A2A8-0147-BBAB-08100AD60F61}" name="Cost Per Unit (RM)" dataDxfId="428">
      <calculatedColumnFormula>IF(A16&lt;&gt;"",VLOOKUP(Table1173538[[#This Row],[Name]], IngredientTable[], 6, FALSE),"")</calculatedColumnFormula>
    </tableColumn>
    <tableColumn id="4" xr3:uid="{1A751045-A59F-494A-983D-2F06A2095CA6}" name="Total Cost (RM)" totalsRowFunction="custom" dataDxfId="426" totalsRowDxfId="427">
      <calculatedColumnFormula>IF(Table1173538[[#This Row],[Name]]&lt;&gt;"",Table1173538[[#This Row],[Quantity]]*Table1173538[[#This Row],[Cost Per Unit (RM)]],"")</calculatedColumnFormula>
      <totalsRowFormula>SUM(Table1173538[Total Cost (RM)])</totalsRowFormula>
    </tableColumn>
  </tableColumns>
  <tableStyleInfo name="TableStyleLight1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2CD87ED-1355-DF4D-8B14-45453FB70BB1}" name="Table4183639" displayName="Table4183639" ref="A21:D25" totalsRowCount="1" dataDxfId="425">
  <autoFilter ref="A21:D24" xr:uid="{306A8484-A1E7-DB41-9B44-FE1489A8EA09}"/>
  <tableColumns count="4">
    <tableColumn id="1" xr3:uid="{5250F675-80C6-6542-88D1-FC032CF160C6}" name="Name" dataDxfId="424"/>
    <tableColumn id="2" xr3:uid="{D843F1ED-1D23-2E4E-99AC-E91984A6A600}" name="Quantity" dataDxfId="422" totalsRowDxfId="423"/>
    <tableColumn id="3" xr3:uid="{59A84251-E708-5248-9B40-1239BD6C6E18}" name="Cost Per Unit (RM)" dataDxfId="420" totalsRowDxfId="421">
      <calculatedColumnFormula>IF(A22&lt;&gt;"",VLOOKUP(Table4183639[[#This Row],[Name]], PackagingTable[], 6, FALSE),"")</calculatedColumnFormula>
    </tableColumn>
    <tableColumn id="4" xr3:uid="{5A95204F-6353-8F47-91B8-B1033FC55BC7}" name="Total Cost (RM)" totalsRowFunction="custom" dataDxfId="418" totalsRowDxfId="419">
      <calculatedColumnFormula>IF(Table4183639[[#This Row],[Name]]&lt;&gt;"",Table4183639[[#This Row],[Quantity]]*Table4183639[[#This Row],[Cost Per Unit (RM)]],"")</calculatedColumnFormula>
      <totalsRowFormula>SUM(Table4183639[Total Cost (RM)])</totalsRowFormula>
    </tableColumn>
  </tableColumns>
  <tableStyleInfo name="TableStyleLight1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FEADC3F-D1C3-2241-9B13-75D06D67D7D8}" name="Table114193740" displayName="Table114193740" ref="A9:D12" totalsRowCount="1" tableBorderDxfId="417">
  <autoFilter ref="A9:D11" xr:uid="{52EF3BE0-44FD-7348-B971-54054A4F2090}"/>
  <tableColumns count="4">
    <tableColumn id="1" xr3:uid="{A0EDDF3C-B557-D04E-BF0C-1282DFB14E4B}" name="Name"/>
    <tableColumn id="2" xr3:uid="{2D388F75-3251-F742-81AB-272C5CFC7873}" name="Quantity" dataDxfId="415" totalsRowDxfId="416"/>
    <tableColumn id="3" xr3:uid="{1FC3637A-EEC1-F441-8C32-041D9C41798F}" name="Cost Per Unit (RM)" dataDxfId="413" totalsRowDxfId="414">
      <calculatedColumnFormula>IF(A10&lt;&gt;"",VLOOKUP(Table114193740[[#This Row],[Name]], MixedIngredientTable[], 4, FALSE),"")</calculatedColumnFormula>
    </tableColumn>
    <tableColumn id="4" xr3:uid="{ACD8122F-5D6D-904E-9E67-7F2A9068D4FB}" name="Total Cost (RM)" totalsRowFunction="custom" dataDxfId="411" totalsRowDxfId="412">
      <calculatedColumnFormula>IF(Table114193740[[#This Row],[Name]]&lt;&gt;"",Table114193740[[#This Row],[Quantity]]*Table114193740[[#This Row],[Cost Per Unit (RM)]],"")</calculatedColumnFormula>
      <totalsRowFormula>SUM(Table114193740[Total Cost (RM)])</totalsRowFormula>
    </tableColumn>
  </tableColumns>
  <tableStyleInfo name="TableStyleLight1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6F56849F-F2E7-43C7-9CAA-5DE6D159C3BD}" name="Table1173538103" displayName="Table1173538103" ref="A15:D19" totalsRowCount="1">
  <autoFilter ref="A15:D18" xr:uid="{48F34297-3D1A-6F42-BDD9-7DAA7FCB178D}"/>
  <tableColumns count="4">
    <tableColumn id="1" xr3:uid="{282FFA08-D369-4D0E-B3C4-7CD790B3FECD}" name="Name"/>
    <tableColumn id="2" xr3:uid="{DE4A519E-1F93-42A7-A8F7-171C48BE2093}" name="Quantity" dataDxfId="410"/>
    <tableColumn id="3" xr3:uid="{BEB528FB-FCAC-4BEE-9021-2E8A01B1CB4B}" name="Cost Per Unit (RM)" dataDxfId="409">
      <calculatedColumnFormula>IF(A16&lt;&gt;"",VLOOKUP(Table1173538103[[#This Row],[Name]], IngredientTable[], 6, FALSE),"")</calculatedColumnFormula>
    </tableColumn>
    <tableColumn id="4" xr3:uid="{4ACF59ED-53B7-4AE5-B1D0-5B525A497967}" name="Total Cost (RM)" totalsRowFunction="custom" dataDxfId="407" totalsRowDxfId="408">
      <calculatedColumnFormula>IF(Table1173538103[[#This Row],[Name]]&lt;&gt;"",Table1173538103[[#This Row],[Quantity]]*Table1173538103[[#This Row],[Cost Per Unit (RM)]],"")</calculatedColumnFormula>
      <totalsRowFormula>SUM(Table1173538103[Total Cost (RM)])</totalsRowFormula>
    </tableColumn>
  </tableColumns>
  <tableStyleInfo name="TableStyleLight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DE2BAB75-5304-47E1-BCE1-1553EEF32288}" name="Table4183639104" displayName="Table4183639104" ref="A21:D25" totalsRowCount="1" dataDxfId="406">
  <autoFilter ref="A21:D24" xr:uid="{306A8484-A1E7-DB41-9B44-FE1489A8EA09}"/>
  <tableColumns count="4">
    <tableColumn id="1" xr3:uid="{88540B34-5BF7-4E0E-95BF-A9C871DAD2CA}" name="Name" dataDxfId="405"/>
    <tableColumn id="2" xr3:uid="{1C041A87-65A4-4C09-89ED-53EDE6A2C8D9}" name="Quantity" dataDxfId="403" totalsRowDxfId="404"/>
    <tableColumn id="3" xr3:uid="{C6FA057C-63EF-496B-8DFE-0F7719F75D8A}" name="Cost Per Unit (RM)" dataDxfId="401" totalsRowDxfId="402">
      <calculatedColumnFormula>IF(A22&lt;&gt;"",VLOOKUP(Table4183639104[[#This Row],[Name]], PackagingTable[], 6, FALSE),"")</calculatedColumnFormula>
    </tableColumn>
    <tableColumn id="4" xr3:uid="{F442DA2C-97C1-41EA-86AB-2EA91F6E9B66}" name="Total Cost (RM)" totalsRowFunction="custom" dataDxfId="399" totalsRowDxfId="400">
      <calculatedColumnFormula>IF(Table4183639104[[#This Row],[Name]]&lt;&gt;"",Table4183639104[[#This Row],[Quantity]]*Table4183639104[[#This Row],[Cost Per Unit (RM)]],"")</calculatedColumnFormula>
      <totalsRowFormula>SUM(Table4183639104[Total Cost (RM)])</totalsRowFormula>
    </tableColumn>
  </tableColumns>
  <tableStyleInfo name="TableStyleLight1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C24AB09A-4035-4BA2-A051-CAD590792537}" name="Table114193740105" displayName="Table114193740105" ref="A9:D12" totalsRowCount="1" tableBorderDxfId="398">
  <autoFilter ref="A9:D11" xr:uid="{52EF3BE0-44FD-7348-B971-54054A4F2090}"/>
  <tableColumns count="4">
    <tableColumn id="1" xr3:uid="{CB420BE6-48C6-4F3D-80A2-BFD337D69916}" name="Name"/>
    <tableColumn id="2" xr3:uid="{758026DC-7DB2-4D0F-AE4B-819E158298F6}" name="Quantity" dataDxfId="396" totalsRowDxfId="397"/>
    <tableColumn id="3" xr3:uid="{E73D0796-2934-410A-A43E-4BA29FECE567}" name="Cost Per Unit (RM)" dataDxfId="394" totalsRowDxfId="395">
      <calculatedColumnFormula>IF(A10&lt;&gt;"",VLOOKUP(Table114193740105[[#This Row],[Name]], MixedIngredientTable[], 4, FALSE),"")</calculatedColumnFormula>
    </tableColumn>
    <tableColumn id="4" xr3:uid="{50F00C47-10D2-44C8-BAC3-092A2154236E}" name="Total Cost (RM)" totalsRowFunction="custom" dataDxfId="392" totalsRowDxfId="393">
      <calculatedColumnFormula>IF(Table114193740105[[#This Row],[Name]]&lt;&gt;"",Table114193740105[[#This Row],[Quantity]]*Table114193740105[[#This Row],[Cost Per Unit (RM)]],"")</calculatedColumnFormula>
      <totalsRowFormula>SUM(Table114193740105[Total Cost (RM)])</totalsRowFormula>
    </tableColumn>
  </tableColumns>
  <tableStyleInfo name="TableStyleLight1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A13C166E-B965-44B2-BB44-1434A04CD568}" name="Table1173538103106" displayName="Table1173538103106" ref="A15:D19" totalsRowCount="1">
  <autoFilter ref="A15:D18" xr:uid="{48F34297-3D1A-6F42-BDD9-7DAA7FCB178D}"/>
  <tableColumns count="4">
    <tableColumn id="1" xr3:uid="{2620EA29-8AEB-4528-B991-6D26ACDDAA54}" name="Name"/>
    <tableColumn id="2" xr3:uid="{5C9DE7DE-B9F1-483C-8C5D-347B33C20643}" name="Quantity" dataDxfId="391"/>
    <tableColumn id="3" xr3:uid="{83EA24A2-B909-4715-B3CC-42F7AE8E61CA}" name="Cost Per Unit (RM)" dataDxfId="390">
      <calculatedColumnFormula>IF(A16&lt;&gt;"",VLOOKUP(Table1173538103106[[#This Row],[Name]], IngredientTable[], 6, FALSE),"")</calculatedColumnFormula>
    </tableColumn>
    <tableColumn id="4" xr3:uid="{2514CAA6-8B22-405A-B16D-D68810B56A2E}" name="Total Cost (RM)" totalsRowFunction="custom" dataDxfId="388" totalsRowDxfId="389">
      <calculatedColumnFormula>IF(Table1173538103106[[#This Row],[Name]]&lt;&gt;"",Table1173538103106[[#This Row],[Quantity]]*Table1173538103106[[#This Row],[Cost Per Unit (RM)]],"")</calculatedColumnFormula>
      <totalsRowFormula>SUM(Table1173538103106[Total Cost (RM)])</totalsRowFormula>
    </tableColumn>
  </tableColumns>
  <tableStyleInfo name="TableStyleLight1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B70F7B96-EA3B-4731-833A-B4B0B2C55435}" name="Table4183639104107" displayName="Table4183639104107" ref="A21:D25" totalsRowCount="1" dataDxfId="387">
  <autoFilter ref="A21:D24" xr:uid="{306A8484-A1E7-DB41-9B44-FE1489A8EA09}"/>
  <tableColumns count="4">
    <tableColumn id="1" xr3:uid="{FEF2E297-B2B7-40B6-A5A6-8E86830EFA1F}" name="Name" dataDxfId="386"/>
    <tableColumn id="2" xr3:uid="{D28FEFD8-81FF-48F1-B02E-8E9761EAA86A}" name="Quantity" dataDxfId="384" totalsRowDxfId="385"/>
    <tableColumn id="3" xr3:uid="{950E7A26-374B-46D5-9BE1-37A3E9E8F654}" name="Cost Per Unit (RM)" dataDxfId="382" totalsRowDxfId="383">
      <calculatedColumnFormula>IF(A22&lt;&gt;"",VLOOKUP(Table4183639104107[[#This Row],[Name]], PackagingTable[], 6, FALSE),"")</calculatedColumnFormula>
    </tableColumn>
    <tableColumn id="4" xr3:uid="{9C1904E1-556D-4575-8991-6AD37AA80847}" name="Total Cost (RM)" totalsRowFunction="custom" dataDxfId="380" totalsRowDxfId="381">
      <calculatedColumnFormula>IF(Table4183639104107[[#This Row],[Name]]&lt;&gt;"",Table4183639104107[[#This Row],[Quantity]]*Table4183639104107[[#This Row],[Cost Per Unit (RM)]],"")</calculatedColumnFormula>
      <totalsRowFormula>SUM(Table4183639104107[Total Cost (RM)])</totalsRowFormula>
    </tableColumn>
  </tableColumns>
  <tableStyleInfo name="TableStyleLight1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E1FAC20-DADD-428B-AE4F-2E21576D299E}" name="Table114193740105108" displayName="Table114193740105108" ref="A9:D12" totalsRowCount="1" tableBorderDxfId="379">
  <autoFilter ref="A9:D11" xr:uid="{52EF3BE0-44FD-7348-B971-54054A4F2090}"/>
  <tableColumns count="4">
    <tableColumn id="1" xr3:uid="{2DCC4E34-1B7E-426C-862E-4D7A53E87B84}" name="Name"/>
    <tableColumn id="2" xr3:uid="{680CA920-960D-4EBB-9463-D0107301ED9E}" name="Quantity" dataDxfId="377" totalsRowDxfId="378"/>
    <tableColumn id="3" xr3:uid="{08AE57A8-BE07-4D8E-82A8-CAA9A577408F}" name="Cost Per Unit (RM)" dataDxfId="375" totalsRowDxfId="376">
      <calculatedColumnFormula>IF(A10&lt;&gt;"",VLOOKUP(Table114193740105108[[#This Row],[Name]], MixedIngredientTable[], 4, FALSE),"")</calculatedColumnFormula>
    </tableColumn>
    <tableColumn id="4" xr3:uid="{04227EA4-EDFC-4293-B23F-F864A356E6C3}" name="Total Cost (RM)" totalsRowFunction="custom" dataDxfId="373" totalsRowDxfId="374">
      <calculatedColumnFormula>IF(Table114193740105108[[#This Row],[Name]]&lt;&gt;"",Table114193740105108[[#This Row],[Quantity]]*Table114193740105108[[#This Row],[Cost Per Unit (RM)]],"")</calculatedColumnFormula>
      <totalsRowFormula>SUM(Table114193740105108[Total Cost (RM)])</totalsRowFormula>
    </tableColumn>
  </tableColumns>
  <tableStyleInfo name="TableStyleLight1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82A51849-F078-4BC7-8076-779DE989169B}" name="Table1173538103106109" displayName="Table1173538103106109" ref="A15:D19" totalsRowCount="1">
  <autoFilter ref="A15:D18" xr:uid="{48F34297-3D1A-6F42-BDD9-7DAA7FCB178D}"/>
  <tableColumns count="4">
    <tableColumn id="1" xr3:uid="{102ACD75-44C1-4EBD-BFC5-F1C8CCA3722A}" name="Name"/>
    <tableColumn id="2" xr3:uid="{231B314C-833F-4FBD-99A2-EC597ED7AF28}" name="Quantity" dataDxfId="372"/>
    <tableColumn id="3" xr3:uid="{22EBD7E9-3417-46CF-B440-BA822DC6CDC6}" name="Cost Per Unit (RM)" dataDxfId="371">
      <calculatedColumnFormula>IF(A16&lt;&gt;"",VLOOKUP(Table1173538103106109[[#This Row],[Name]], IngredientTable[], 6, FALSE),"")</calculatedColumnFormula>
    </tableColumn>
    <tableColumn id="4" xr3:uid="{D9E9FA1D-11FC-4F39-9AA9-A3ABBAB7A2D4}" name="Total Cost (RM)" totalsRowFunction="custom" dataDxfId="369" totalsRowDxfId="370">
      <calculatedColumnFormula>IF(Table1173538103106109[[#This Row],[Name]]&lt;&gt;"",Table1173538103106109[[#This Row],[Quantity]]*Table1173538103106109[[#This Row],[Cost Per Unit (RM)]],"")</calculatedColumnFormula>
      <totalsRowFormula>SUM(Table1173538103106109[Total Cost (RM)])</totalsRowFormula>
    </tableColumn>
  </tableColumns>
  <tableStyleInfo name="TableStyleLight1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BB61B6DB-C9D5-4F0F-8728-74D870942A9B}" name="Table4183639104107110" displayName="Table4183639104107110" ref="A21:D25" totalsRowCount="1" dataDxfId="368">
  <autoFilter ref="A21:D24" xr:uid="{306A8484-A1E7-DB41-9B44-FE1489A8EA09}"/>
  <tableColumns count="4">
    <tableColumn id="1" xr3:uid="{A158E544-55DF-4FCC-8549-EA5B620BBE1B}" name="Name" dataDxfId="367"/>
    <tableColumn id="2" xr3:uid="{8AE9BD47-0F6E-4C16-97F4-8E99F98183A6}" name="Quantity" dataDxfId="365" totalsRowDxfId="366"/>
    <tableColumn id="3" xr3:uid="{DCE60CC0-2210-423B-A5E4-9B4DAF31E41F}" name="Cost Per Unit (RM)" dataDxfId="363" totalsRowDxfId="364">
      <calculatedColumnFormula>IF(A22&lt;&gt;"",VLOOKUP(Table4183639104107110[[#This Row],[Name]], PackagingTable[], 6, FALSE),"")</calculatedColumnFormula>
    </tableColumn>
    <tableColumn id="4" xr3:uid="{6CE43B59-B68D-46CE-8572-0E0671446963}" name="Total Cost (RM)" totalsRowFunction="custom" dataDxfId="361" totalsRowDxfId="362">
      <calculatedColumnFormula>IF(Table4183639104107110[[#This Row],[Name]]&lt;&gt;"",Table4183639104107110[[#This Row],[Quantity]]*Table4183639104107110[[#This Row],[Cost Per Unit (RM)]],"")</calculatedColumnFormula>
      <totalsRowFormula>SUM(Table4183639104107110[Total Cost (RM)])</totalsRowFormula>
    </tableColumn>
  </tableColumns>
  <tableStyleInfo name="TableStyleLight1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6FDC6CC4-A9E0-42A3-A1BB-16E20836019F}" name="Table114193740105108111" displayName="Table114193740105108111" ref="A9:D12" totalsRowCount="1" tableBorderDxfId="360">
  <autoFilter ref="A9:D11" xr:uid="{52EF3BE0-44FD-7348-B971-54054A4F2090}"/>
  <tableColumns count="4">
    <tableColumn id="1" xr3:uid="{CF3BAA4A-F114-4CA7-81A8-A59C602D0775}" name="Name"/>
    <tableColumn id="2" xr3:uid="{3C7FC619-DF87-43A7-8BB9-776691358A09}" name="Quantity" dataDxfId="358" totalsRowDxfId="359"/>
    <tableColumn id="3" xr3:uid="{20E43FE0-D913-470C-9EFF-7E035C4833CA}" name="Cost Per Unit (RM)" dataDxfId="356" totalsRowDxfId="357">
      <calculatedColumnFormula>IF(A10&lt;&gt;"",VLOOKUP(Table114193740105108111[[#This Row],[Name]], MixedIngredientTable[], 4, FALSE),"")</calculatedColumnFormula>
    </tableColumn>
    <tableColumn id="4" xr3:uid="{63639ED5-50DA-421D-98FB-87D9BFF47F55}" name="Total Cost (RM)" totalsRowFunction="custom" dataDxfId="354" totalsRowDxfId="355">
      <calculatedColumnFormula>IF(Table114193740105108111[[#This Row],[Name]]&lt;&gt;"",Table114193740105108111[[#This Row],[Quantity]]*Table114193740105108111[[#This Row],[Cost Per Unit (RM)]],"")</calculatedColumnFormula>
      <totalsRowFormula>SUM(Table114193740105108111[Total Cost (RM)])</totalsRowFormula>
    </tableColumn>
  </tableColumns>
  <tableStyleInfo name="TableStyleLight1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F46F0212-01D5-48BE-B85C-047F86F460DA}" name="Table1173538103106109136139" displayName="Table1173538103106109136139" ref="A15:D19" totalsRowCount="1">
  <autoFilter ref="A15:D18" xr:uid="{48F34297-3D1A-6F42-BDD9-7DAA7FCB178D}"/>
  <tableColumns count="4">
    <tableColumn id="1" xr3:uid="{22C32E08-8477-4612-A548-09AE3D4F115A}" name="Name"/>
    <tableColumn id="2" xr3:uid="{DEA84496-4409-43E1-B114-7EBDAE3AAD8F}" name="Quantity" dataDxfId="353"/>
    <tableColumn id="3" xr3:uid="{E2050B6D-4C17-4EDD-8D56-E25C0B01C49F}" name="Cost Per Unit (RM)" dataDxfId="352">
      <calculatedColumnFormula>IF(A16&lt;&gt;"",VLOOKUP(Table1173538103106109136139[[#This Row],[Name]], IngredientTable[], 6, FALSE),"")</calculatedColumnFormula>
    </tableColumn>
    <tableColumn id="4" xr3:uid="{E443CAEB-B984-4DC1-8C88-F2773FD62E76}" name="Total Cost (RM)" totalsRowFunction="custom" dataDxfId="350" totalsRowDxfId="351">
      <calculatedColumnFormula>IF(Table1173538103106109136139[[#This Row],[Name]]&lt;&gt;"",Table1173538103106109136139[[#This Row],[Quantity]]*Table1173538103106109136139[[#This Row],[Cost Per Unit (RM)]],"")</calculatedColumnFormula>
      <totalsRowFormula>SUM(Table1173538103106109136139[Total Cost (RM)])</totalsRowFormula>
    </tableColumn>
  </tableColumns>
  <tableStyleInfo name="TableStyleLight1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8F285E5D-644A-4618-9673-B29D38921FFB}" name="Table4183639104107110137140" displayName="Table4183639104107110137140" ref="A21:D25" totalsRowCount="1" dataDxfId="349">
  <autoFilter ref="A21:D24" xr:uid="{306A8484-A1E7-DB41-9B44-FE1489A8EA09}"/>
  <tableColumns count="4">
    <tableColumn id="1" xr3:uid="{44439C01-3AF3-4FA4-9776-31090A73E564}" name="Name" dataDxfId="348"/>
    <tableColumn id="2" xr3:uid="{D21D5E11-0D19-4C9F-9E79-97C228696A3B}" name="Quantity" dataDxfId="346" totalsRowDxfId="347"/>
    <tableColumn id="3" xr3:uid="{0DAB49CF-A97F-44A1-8E58-8A206DB5DE8D}" name="Cost Per Unit (RM)" dataDxfId="344" totalsRowDxfId="345">
      <calculatedColumnFormula>IF(A22&lt;&gt;"",VLOOKUP(Table4183639104107110137140[[#This Row],[Name]], PackagingTable[], 6, FALSE),"")</calculatedColumnFormula>
    </tableColumn>
    <tableColumn id="4" xr3:uid="{9C41EA1A-FB24-4112-AC16-DB1518C1F716}" name="Total Cost (RM)" totalsRowFunction="custom" dataDxfId="342" totalsRowDxfId="343">
      <calculatedColumnFormula>IF(Table4183639104107110137140[[#This Row],[Name]]&lt;&gt;"",Table4183639104107110137140[[#This Row],[Quantity]]*Table4183639104107110137140[[#This Row],[Cost Per Unit (RM)]],"")</calculatedColumnFormula>
      <totalsRowFormula>SUM(Table4183639104107110137140[Total Cost (RM)])</totalsRowFormula>
    </tableColumn>
  </tableColumns>
  <tableStyleInfo name="TableStyleLight1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11543508-52CA-4E13-AF76-1FA1C4DF0F7D}" name="Table114193740105108111138141" displayName="Table114193740105108111138141" ref="A9:D12" totalsRowCount="1" tableBorderDxfId="341">
  <autoFilter ref="A9:D11" xr:uid="{52EF3BE0-44FD-7348-B971-54054A4F2090}"/>
  <tableColumns count="4">
    <tableColumn id="1" xr3:uid="{27C7E5B2-96F2-4A44-B8AC-D89C9563F396}" name="Name"/>
    <tableColumn id="2" xr3:uid="{2630F7F4-95C3-4A7F-9DE5-DD48F3206407}" name="Quantity" dataDxfId="339" totalsRowDxfId="340"/>
    <tableColumn id="3" xr3:uid="{13C3D996-8CCC-47E6-A027-DDAE01C24F9C}" name="Cost Per Unit (RM)" dataDxfId="337" totalsRowDxfId="338">
      <calculatedColumnFormula>IF(A10&lt;&gt;"",VLOOKUP(Table114193740105108111138141[[#This Row],[Name]], MixedIngredientTable[], 4, FALSE),"")</calculatedColumnFormula>
    </tableColumn>
    <tableColumn id="4" xr3:uid="{6E14F7D5-C33F-40BB-8952-0C7687DE458C}" name="Total Cost (RM)" totalsRowFunction="custom" dataDxfId="335" totalsRowDxfId="336">
      <calculatedColumnFormula>IF(Table114193740105108111138141[[#This Row],[Name]]&lt;&gt;"",Table114193740105108111138141[[#This Row],[Quantity]]*Table114193740105108111138141[[#This Row],[Cost Per Unit (RM)]],"")</calculatedColumnFormula>
      <totalsRowFormula>SUM(Table114193740105108111138141[Total Cost (RM)])</totalsRowFormula>
    </tableColumn>
  </tableColumns>
  <tableStyleInfo name="TableStyleLight1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2C6073D2-8EEC-4F69-A047-BBCD3D1F7D72}" name="Table1173538103106109136" displayName="Table1173538103106109136" ref="A15:D19" totalsRowCount="1">
  <autoFilter ref="A15:D18" xr:uid="{48F34297-3D1A-6F42-BDD9-7DAA7FCB178D}"/>
  <tableColumns count="4">
    <tableColumn id="1" xr3:uid="{C1420A3B-4D77-45B7-9D25-95B84C9F8261}" name="Name"/>
    <tableColumn id="2" xr3:uid="{4AEFF56B-5BB2-4457-96AE-A2AFE86049BF}" name="Quantity" dataDxfId="334"/>
    <tableColumn id="3" xr3:uid="{D0863AD8-DA9A-4F77-B7FA-D2FF8C02FD27}" name="Cost Per Unit (RM)" dataDxfId="333">
      <calculatedColumnFormula>IF(A16&lt;&gt;"",VLOOKUP(Table1173538103106109136[[#This Row],[Name]], IngredientTable[], 6, FALSE),"")</calculatedColumnFormula>
    </tableColumn>
    <tableColumn id="4" xr3:uid="{EBCFA1C2-B8E7-496E-81E3-B36CAAA40EE2}" name="Total Cost (RM)" totalsRowFunction="custom" dataDxfId="331" totalsRowDxfId="332">
      <calculatedColumnFormula>IF(Table1173538103106109136[[#This Row],[Name]]&lt;&gt;"",Table1173538103106109136[[#This Row],[Quantity]]*Table1173538103106109136[[#This Row],[Cost Per Unit (RM)]],"")</calculatedColumnFormula>
      <totalsRowFormula>SUM(Table1173538103106109136[Total Cost (RM)])</totalsRowFormula>
    </tableColumn>
  </tableColumns>
  <tableStyleInfo name="TableStyleLight1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F01601FE-2C1C-41CC-A83B-1ABE7252C140}" name="Table4183639104107110137" displayName="Table4183639104107110137" ref="A21:D25" totalsRowCount="1" dataDxfId="330">
  <autoFilter ref="A21:D24" xr:uid="{306A8484-A1E7-DB41-9B44-FE1489A8EA09}"/>
  <tableColumns count="4">
    <tableColumn id="1" xr3:uid="{E122B253-47B2-4534-BA18-E3C5B53698E9}" name="Name" dataDxfId="329"/>
    <tableColumn id="2" xr3:uid="{D216140B-C6A2-4D74-A279-5D8F05A532FD}" name="Quantity" dataDxfId="327" totalsRowDxfId="328"/>
    <tableColumn id="3" xr3:uid="{6AA184AF-72A2-4BC9-8974-D80BE40E7E5E}" name="Cost Per Unit (RM)" dataDxfId="325" totalsRowDxfId="326">
      <calculatedColumnFormula>IF(A22&lt;&gt;"",VLOOKUP(Table4183639104107110137[[#This Row],[Name]], PackagingTable[], 6, FALSE),"")</calculatedColumnFormula>
    </tableColumn>
    <tableColumn id="4" xr3:uid="{6E5A3337-7914-4A9B-8F66-86148A1AED2A}" name="Total Cost (RM)" totalsRowFunction="custom" dataDxfId="323" totalsRowDxfId="324">
      <calculatedColumnFormula>IF(Table4183639104107110137[[#This Row],[Name]]&lt;&gt;"",Table4183639104107110137[[#This Row],[Quantity]]*Table4183639104107110137[[#This Row],[Cost Per Unit (RM)]],"")</calculatedColumnFormula>
      <totalsRowFormula>SUM(Table4183639104107110137[Total Cost (RM)])</totalsRowFormula>
    </tableColumn>
  </tableColumns>
  <tableStyleInfo name="TableStyleLight1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9357F7F6-A3EF-423B-BC50-A1B2FF97674B}" name="Table114193740105108111138" displayName="Table114193740105108111138" ref="A9:D12" totalsRowCount="1" tableBorderDxfId="322">
  <autoFilter ref="A9:D11" xr:uid="{52EF3BE0-44FD-7348-B971-54054A4F2090}"/>
  <tableColumns count="4">
    <tableColumn id="1" xr3:uid="{A89FE718-BB8E-48BD-A752-AEBB1D258772}" name="Name"/>
    <tableColumn id="2" xr3:uid="{C64899FC-756E-484E-BCCB-5D21D4EC54A9}" name="Quantity" dataDxfId="320" totalsRowDxfId="321"/>
    <tableColumn id="3" xr3:uid="{E36F3DC6-0F7F-49C1-9A1C-19D483B88CD6}" name="Cost Per Unit (RM)" dataDxfId="318" totalsRowDxfId="319">
      <calculatedColumnFormula>IF(A10&lt;&gt;"",VLOOKUP(Table114193740105108111138[[#This Row],[Name]], MixedIngredientTable[], 4, FALSE),"")</calculatedColumnFormula>
    </tableColumn>
    <tableColumn id="4" xr3:uid="{9D70B050-DBCB-43B5-95CF-A8D5EE60DCC1}" name="Total Cost (RM)" totalsRowFunction="custom" dataDxfId="316" totalsRowDxfId="317">
      <calculatedColumnFormula>IF(Table114193740105108111138[[#This Row],[Name]]&lt;&gt;"",Table114193740105108111138[[#This Row],[Quantity]]*Table114193740105108111138[[#This Row],[Cost Per Unit (RM)]],"")</calculatedColumnFormula>
      <totalsRowFormula>SUM(Table114193740105108111138[Total Cost (RM)])</totalsRowFormula>
    </tableColumn>
  </tableColumns>
  <tableStyleInfo name="TableStyleLight1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F2589A46-AB73-428A-B55C-75A4478D6B4C}" name="Table1173538103106109118121124" displayName="Table1173538103106109118121124" ref="A15:D19" totalsRowCount="1">
  <autoFilter ref="A15:D18" xr:uid="{48F34297-3D1A-6F42-BDD9-7DAA7FCB178D}"/>
  <tableColumns count="4">
    <tableColumn id="1" xr3:uid="{11B96997-14E3-481A-98FE-37EC4EEFCC66}" name="Name"/>
    <tableColumn id="2" xr3:uid="{537A5F48-6386-40F9-B513-C2D83BADEA5F}" name="Quantity" dataDxfId="315"/>
    <tableColumn id="3" xr3:uid="{BB71D946-0CC1-47DF-9616-E2845FE0E866}" name="Cost Per Unit (RM)" dataDxfId="314">
      <calculatedColumnFormula>IF(A16&lt;&gt;"",VLOOKUP(Table1173538103106109118121124[[#This Row],[Name]], IngredientTable[], 6, FALSE),"")</calculatedColumnFormula>
    </tableColumn>
    <tableColumn id="4" xr3:uid="{62D50563-F06F-4732-882A-427B924FD8BC}" name="Total Cost (RM)" totalsRowFunction="custom" dataDxfId="312" totalsRowDxfId="313">
      <calculatedColumnFormula>IF(Table1173538103106109118121124[[#This Row],[Name]]&lt;&gt;"",Table1173538103106109118121124[[#This Row],[Quantity]]*Table1173538103106109118121124[[#This Row],[Cost Per Unit (RM)]],"")</calculatedColumnFormula>
      <totalsRowFormula>SUM(Table1173538103106109118121124[Total Cost (RM)])</totalsRowFormula>
    </tableColumn>
  </tableColumns>
  <tableStyleInfo name="TableStyleLight1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FF98601D-71A8-4B11-BDBE-BC32838E09C1}" name="Table4183639104107110119122125" displayName="Table4183639104107110119122125" ref="A21:D25" totalsRowCount="1" dataDxfId="311">
  <autoFilter ref="A21:D24" xr:uid="{306A8484-A1E7-DB41-9B44-FE1489A8EA09}"/>
  <tableColumns count="4">
    <tableColumn id="1" xr3:uid="{07297CE5-94B3-4828-BDC6-AB6FCFDF714C}" name="Name" dataDxfId="310"/>
    <tableColumn id="2" xr3:uid="{F89891FC-9B9F-4D4B-92F7-0962986C84CC}" name="Quantity" dataDxfId="308" totalsRowDxfId="309"/>
    <tableColumn id="3" xr3:uid="{42E19931-D13A-4F34-9F6D-C2C0ED5A4360}" name="Cost Per Unit (RM)" dataDxfId="306" totalsRowDxfId="307">
      <calculatedColumnFormula>IF(A22&lt;&gt;"",VLOOKUP(Table4183639104107110119122125[[#This Row],[Name]], PackagingTable[], 6, FALSE),"")</calculatedColumnFormula>
    </tableColumn>
    <tableColumn id="4" xr3:uid="{047948B5-3EF3-4742-B010-53C1ABE7A2D5}" name="Total Cost (RM)" totalsRowFunction="custom" dataDxfId="304" totalsRowDxfId="305">
      <calculatedColumnFormula>IF(Table4183639104107110119122125[[#This Row],[Name]]&lt;&gt;"",Table4183639104107110119122125[[#This Row],[Quantity]]*Table4183639104107110119122125[[#This Row],[Cost Per Unit (RM)]],"")</calculatedColumnFormula>
      <totalsRowFormula>SUM(Table4183639104107110119122125[Total Cost (RM)])</totalsRowFormula>
    </tableColumn>
  </tableColumns>
  <tableStyleInfo name="TableStyleLight1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DDAAFE5-2220-490F-8FCC-84E70B5271F1}" name="Table114193740105108111120123126" displayName="Table114193740105108111120123126" ref="A9:D12" totalsRowCount="1" tableBorderDxfId="303">
  <autoFilter ref="A9:D11" xr:uid="{52EF3BE0-44FD-7348-B971-54054A4F2090}"/>
  <tableColumns count="4">
    <tableColumn id="1" xr3:uid="{D6EB31B2-F8D2-4A0D-A30A-21F5F0DDC4D1}" name="Name" totalsRowDxfId="302"/>
    <tableColumn id="2" xr3:uid="{D5B8183D-EE6C-4A88-924D-3187F90E7032}" name="Quantity" dataDxfId="300" totalsRowDxfId="301"/>
    <tableColumn id="3" xr3:uid="{98F91E53-66BD-4406-B78A-942A1EB89342}" name="Cost Per Unit (RM)" dataDxfId="298" totalsRowDxfId="299">
      <calculatedColumnFormula>IF(A10&lt;&gt;"",VLOOKUP(Table114193740105108111120123126[[#This Row],[Name]], MixedIngredientTable[], 4, FALSE),"")</calculatedColumnFormula>
    </tableColumn>
    <tableColumn id="4" xr3:uid="{AB1931B9-67C5-4665-B665-E8DD9F1E48FD}" name="Total Cost (RM)" totalsRowFunction="custom" dataDxfId="296" totalsRowDxfId="297">
      <calculatedColumnFormula>IF(Table114193740105108111120123126[[#This Row],[Name]]&lt;&gt;"",Table114193740105108111120123126[[#This Row],[Quantity]]*Table114193740105108111120123126[[#This Row],[Cost Per Unit (RM)]],"")</calculatedColumnFormula>
      <totalsRowFormula>SUM(Table114193740105108111120123126[Total Cost (RM)])</totalsRowFormula>
    </tableColumn>
  </tableColumns>
  <tableStyleInfo name="TableStyleLight1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4A43995D-3622-478E-90BA-3925B6D85690}" name="Table1173538103106109118121124127" displayName="Table1173538103106109118121124127" ref="A15:D19" totalsRowCount="1">
  <autoFilter ref="A15:D18" xr:uid="{48F34297-3D1A-6F42-BDD9-7DAA7FCB178D}"/>
  <tableColumns count="4">
    <tableColumn id="1" xr3:uid="{E9752A53-A2FA-48C0-9E63-D15AD1D905B4}" name="Name"/>
    <tableColumn id="2" xr3:uid="{2E4B2E9E-662E-4FB8-8FD5-3F1E9F2177F2}" name="Quantity" dataDxfId="295"/>
    <tableColumn id="3" xr3:uid="{06F99287-277F-44F4-9E78-3D1D8B72C46E}" name="Cost Per Unit (RM)" dataDxfId="294">
      <calculatedColumnFormula>IF(A16&lt;&gt;"",VLOOKUP(Table1173538103106109118121124127[[#This Row],[Name]], IngredientTable[], 6, FALSE),"")</calculatedColumnFormula>
    </tableColumn>
    <tableColumn id="4" xr3:uid="{F03C8627-FC7C-435C-AB3B-77B29448D634}" name="Total Cost (RM)" totalsRowFunction="custom" dataDxfId="292" totalsRowDxfId="293">
      <calculatedColumnFormula>IF(Table1173538103106109118121124127[[#This Row],[Name]]&lt;&gt;"",Table1173538103106109118121124127[[#This Row],[Quantity]]*Table1173538103106109118121124127[[#This Row],[Cost Per Unit (RM)]],"")</calculatedColumnFormula>
      <totalsRowFormula>SUM(Table1173538103106109118121124127[Total Cost (RM)])</totalsRowFormula>
    </tableColumn>
  </tableColumns>
  <tableStyleInfo name="TableStyleLight1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88750CD9-C266-489E-9B23-E96558B0BB96}" name="Table4183639104107110119122125128" displayName="Table4183639104107110119122125128" ref="A21:D25" totalsRowCount="1" dataDxfId="291">
  <autoFilter ref="A21:D24" xr:uid="{306A8484-A1E7-DB41-9B44-FE1489A8EA09}"/>
  <tableColumns count="4">
    <tableColumn id="1" xr3:uid="{FC2965F7-E4EC-484F-938F-295DB15B88D5}" name="Name" dataDxfId="290"/>
    <tableColumn id="2" xr3:uid="{87DA894C-0AF5-4176-B3C2-5E2FE3F28A1E}" name="Quantity" dataDxfId="288" totalsRowDxfId="289"/>
    <tableColumn id="3" xr3:uid="{4DD1CEC6-637F-472C-8D44-C8B22488EEEE}" name="Cost Per Unit (RM)" dataDxfId="286" totalsRowDxfId="287">
      <calculatedColumnFormula>IF(A22&lt;&gt;"",VLOOKUP(Table4183639104107110119122125128[[#This Row],[Name]], PackagingTable[], 6, FALSE),"")</calculatedColumnFormula>
    </tableColumn>
    <tableColumn id="4" xr3:uid="{38582F49-1643-461A-9A96-0E5509010F06}" name="Total Cost (RM)" totalsRowFunction="custom" dataDxfId="284" totalsRowDxfId="285">
      <calculatedColumnFormula>IF(Table4183639104107110119122125128[[#This Row],[Name]]&lt;&gt;"",Table4183639104107110119122125128[[#This Row],[Quantity]]*Table4183639104107110119122125128[[#This Row],[Cost Per Unit (RM)]],"")</calculatedColumnFormula>
      <totalsRowFormula>SUM(Table4183639104107110119122125128[Total Cost (RM)])</totalsRowFormula>
    </tableColumn>
  </tableColumns>
  <tableStyleInfo name="TableStyleLight1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F62197E3-096D-4960-938A-B43DB369FFC9}" name="Table114193740105108111120123126129" displayName="Table114193740105108111120123126129" ref="A9:D12" totalsRowCount="1" tableBorderDxfId="283">
  <autoFilter ref="A9:D11" xr:uid="{52EF3BE0-44FD-7348-B971-54054A4F2090}"/>
  <tableColumns count="4">
    <tableColumn id="1" xr3:uid="{31A0CE8A-197F-4D24-BAA1-55717E13D343}" name="Name" totalsRowDxfId="282"/>
    <tableColumn id="2" xr3:uid="{0182E81C-E1E0-428C-9E3F-26CAACDAE011}" name="Quantity" dataDxfId="280" totalsRowDxfId="281"/>
    <tableColumn id="3" xr3:uid="{E6C11946-E976-496E-93AA-9AE4732ACE4E}" name="Cost Per Unit (RM)" dataDxfId="278" totalsRowDxfId="279">
      <calculatedColumnFormula>IF(A10&lt;&gt;"",VLOOKUP(Table114193740105108111120123126129[[#This Row],[Name]], MixedIngredientTable[], 4, FALSE),"")</calculatedColumnFormula>
    </tableColumn>
    <tableColumn id="4" xr3:uid="{A8813A3A-388E-4EFF-9A14-78043EA5DA1F}" name="Total Cost (RM)" totalsRowFunction="custom" dataDxfId="276" totalsRowDxfId="277">
      <calculatedColumnFormula>IF(Table114193740105108111120123126129[[#This Row],[Name]]&lt;&gt;"",Table114193740105108111120123126129[[#This Row],[Quantity]]*Table114193740105108111120123126129[[#This Row],[Cost Per Unit (RM)]],"")</calculatedColumnFormula>
      <totalsRowFormula>SUM(Table114193740105108111120123126129[Total Cost (RM)])</totalsRowFormula>
    </tableColumn>
  </tableColumns>
  <tableStyleInfo name="TableStyleLight1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D93DABCF-6FFC-4DBE-8709-12DC73283C3D}" name="Table1173538103106109118121124127130" displayName="Table1173538103106109118121124127130" ref="A15:D19" totalsRowCount="1">
  <autoFilter ref="A15:D18" xr:uid="{48F34297-3D1A-6F42-BDD9-7DAA7FCB178D}"/>
  <tableColumns count="4">
    <tableColumn id="1" xr3:uid="{094A7D95-BCE5-4B2A-B188-A27636E3ECFB}" name="Name"/>
    <tableColumn id="2" xr3:uid="{06E4E22B-C773-4289-8899-832F42AB1BB3}" name="Quantity" dataDxfId="275"/>
    <tableColumn id="3" xr3:uid="{6B3AA8FB-C51D-47D4-B3D6-59A6689A8591}" name="Cost Per Unit (RM)" dataDxfId="274">
      <calculatedColumnFormula>IF(A16&lt;&gt;"",VLOOKUP(Table1173538103106109118121124127130[[#This Row],[Name]], IngredientTable[], 6, FALSE),"")</calculatedColumnFormula>
    </tableColumn>
    <tableColumn id="4" xr3:uid="{43DBC397-9CF3-4259-AE71-5B7C90014C9C}" name="Total Cost (RM)" totalsRowFunction="custom" dataDxfId="272" totalsRowDxfId="273">
      <calculatedColumnFormula>IF(Table1173538103106109118121124127130[[#This Row],[Name]]&lt;&gt;"",Table1173538103106109118121124127130[[#This Row],[Quantity]]*Table1173538103106109118121124127130[[#This Row],[Cost Per Unit (RM)]],"")</calculatedColumnFormula>
      <totalsRowFormula>SUM(Table1173538103106109118121124127130[Total Cost (RM)])</totalsRowFormula>
    </tableColumn>
  </tableColumns>
  <tableStyleInfo name="TableStyleLight1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B684BD2E-EFC6-4A0F-8C50-7877BCC6C6D2}" name="Table4183639104107110119122125128131" displayName="Table4183639104107110119122125128131" ref="A21:D25" totalsRowCount="1" dataDxfId="271">
  <autoFilter ref="A21:D24" xr:uid="{306A8484-A1E7-DB41-9B44-FE1489A8EA09}"/>
  <tableColumns count="4">
    <tableColumn id="1" xr3:uid="{C4806CE2-09B6-4DC7-84B4-70332330A469}" name="Name" dataDxfId="270"/>
    <tableColumn id="2" xr3:uid="{376AE92D-30C8-4379-96B2-0CDABB78C1B1}" name="Quantity" dataDxfId="268" totalsRowDxfId="269"/>
    <tableColumn id="3" xr3:uid="{17FBA0B2-DFB9-4EDA-B6A5-3CAFBDA602B0}" name="Cost Per Unit (RM)" dataDxfId="266" totalsRowDxfId="267">
      <calculatedColumnFormula>IF(A22&lt;&gt;"",VLOOKUP(Table4183639104107110119122125128131[[#This Row],[Name]], PackagingTable[], 6, FALSE),"")</calculatedColumnFormula>
    </tableColumn>
    <tableColumn id="4" xr3:uid="{5D0BBE4B-49B1-4C6D-AECD-9F6DC6AC0D25}" name="Total Cost (RM)" totalsRowFunction="custom" dataDxfId="264" totalsRowDxfId="265">
      <calculatedColumnFormula>IF(Table4183639104107110119122125128131[[#This Row],[Name]]&lt;&gt;"",Table4183639104107110119122125128131[[#This Row],[Quantity]]*Table4183639104107110119122125128131[[#This Row],[Cost Per Unit (RM)]],"")</calculatedColumnFormula>
      <totalsRowFormula>SUM(Table4183639104107110119122125128131[Total Cost (RM)])</totalsRowFormula>
    </tableColumn>
  </tableColumns>
  <tableStyleInfo name="TableStyleLight1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53D1ABD7-861C-4353-A618-95B4C6F0278E}" name="Table114193740105108111120123126129132" displayName="Table114193740105108111120123126129132" ref="A9:D12" totalsRowCount="1" tableBorderDxfId="263">
  <autoFilter ref="A9:D11" xr:uid="{52EF3BE0-44FD-7348-B971-54054A4F2090}"/>
  <tableColumns count="4">
    <tableColumn id="1" xr3:uid="{F3E99A32-1743-45FB-952D-2CACC46B6B56}" name="Name" totalsRowDxfId="262"/>
    <tableColumn id="2" xr3:uid="{8C8429C1-D23B-45A1-B4FC-0322B3ED87DE}" name="Quantity" dataDxfId="260" totalsRowDxfId="261"/>
    <tableColumn id="3" xr3:uid="{EB39DB7D-B7CC-42A1-B11E-59C33576118C}" name="Cost Per Unit (RM)" dataDxfId="258" totalsRowDxfId="259">
      <calculatedColumnFormula>IF(A10&lt;&gt;"",VLOOKUP(Table114193740105108111120123126129132[[#This Row],[Name]], MixedIngredientTable[], 4, FALSE),"")</calculatedColumnFormula>
    </tableColumn>
    <tableColumn id="4" xr3:uid="{75FD082F-AE34-4886-A9C5-CD9AED939900}" name="Total Cost (RM)" totalsRowFunction="custom" dataDxfId="256" totalsRowDxfId="257">
      <calculatedColumnFormula>IF(Table114193740105108111120123126129132[[#This Row],[Name]]&lt;&gt;"",Table114193740105108111120123126129132[[#This Row],[Quantity]]*Table114193740105108111120123126129132[[#This Row],[Cost Per Unit (RM)]],"")</calculatedColumnFormula>
      <totalsRowFormula>SUM(Table114193740105108111120123126129132[Total Cost (RM)])</totalsRowFormula>
    </tableColumn>
  </tableColumns>
  <tableStyleInfo name="TableStyleLight1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F79EF488-4F49-4485-BF24-9CFDF5699A53}" name="Table1173538103106109118121124127130118121" displayName="Table1173538103106109118121124127130118121" ref="A15:D19" totalsRowCount="1">
  <autoFilter ref="A15:D18" xr:uid="{48F34297-3D1A-6F42-BDD9-7DAA7FCB178D}"/>
  <tableColumns count="4">
    <tableColumn id="1" xr3:uid="{4D304C8C-7516-479A-8B99-4670130686C1}" name="Name"/>
    <tableColumn id="2" xr3:uid="{C8CE82F2-ABBD-4F7A-9EAF-3D88FC2201F4}" name="Quantity" dataDxfId="255"/>
    <tableColumn id="3" xr3:uid="{DFF1FA4B-BD6F-4F06-83FB-B423AD55937F}" name="Cost Per Unit (RM)" dataDxfId="254">
      <calculatedColumnFormula>IF(A16&lt;&gt;"",VLOOKUP(Table1173538103106109118121124127130118121[[#This Row],[Name]], IngredientTable[], 6, FALSE),"")</calculatedColumnFormula>
    </tableColumn>
    <tableColumn id="4" xr3:uid="{841FC3A5-C4DE-451B-B813-DF4EDB9934E3}" name="Total Cost (RM)" totalsRowFunction="custom" dataDxfId="252" totalsRowDxfId="253">
      <calculatedColumnFormula>IF(Table1173538103106109118121124127130118121[[#This Row],[Name]]&lt;&gt;"",Table1173538103106109118121124127130118121[[#This Row],[Quantity]]*Table1173538103106109118121124127130118121[[#This Row],[Cost Per Unit (RM)]],"")</calculatedColumnFormula>
      <totalsRowFormula>SUM(Table1173538103106109118121124127130118121[Total Cost (RM)])</totalsRowFormula>
    </tableColumn>
  </tableColumns>
  <tableStyleInfo name="TableStyleLight1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FCEA0E12-64D1-47DD-A2DE-DC7691F44F27}" name="Table4183639104107110119122125128131119122" displayName="Table4183639104107110119122125128131119122" ref="A21:D25" totalsRowCount="1" dataDxfId="251">
  <autoFilter ref="A21:D24" xr:uid="{306A8484-A1E7-DB41-9B44-FE1489A8EA09}"/>
  <tableColumns count="4">
    <tableColumn id="1" xr3:uid="{51B35528-48D3-4F28-AB47-919CFAE4AA08}" name="Name" dataDxfId="250"/>
    <tableColumn id="2" xr3:uid="{B9C762F9-7B9F-4871-901B-49EF89872079}" name="Quantity" dataDxfId="248" totalsRowDxfId="249"/>
    <tableColumn id="3" xr3:uid="{C54087C9-A3BB-46DE-84F3-3C5FB543451F}" name="Cost Per Unit (RM)" dataDxfId="246" totalsRowDxfId="247">
      <calculatedColumnFormula>IF(A22&lt;&gt;"",VLOOKUP(Table4183639104107110119122125128131119122[[#This Row],[Name]], PackagingTable[], 6, FALSE),"")</calculatedColumnFormula>
    </tableColumn>
    <tableColumn id="4" xr3:uid="{4ACFB544-10AB-4175-992D-49911713BC26}" name="Total Cost (RM)" totalsRowFunction="custom" dataDxfId="244" totalsRowDxfId="245">
      <calculatedColumnFormula>IF(Table4183639104107110119122125128131119122[[#This Row],[Name]]&lt;&gt;"",Table4183639104107110119122125128131119122[[#This Row],[Quantity]]*Table4183639104107110119122125128131119122[[#This Row],[Cost Per Unit (RM)]],"")</calculatedColumnFormula>
      <totalsRowFormula>SUM(Table4183639104107110119122125128131119122[Total Cost (RM)])</totalsRowFormula>
    </tableColumn>
  </tableColumns>
  <tableStyleInfo name="TableStyleLight1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1F868205-2D88-4E53-A372-60B7AE650CEB}" name="Table114193740105108111120123126129132120123" displayName="Table114193740105108111120123126129132120123" ref="A9:D12" totalsRowCount="1" tableBorderDxfId="243">
  <autoFilter ref="A9:D11" xr:uid="{52EF3BE0-44FD-7348-B971-54054A4F2090}"/>
  <tableColumns count="4">
    <tableColumn id="1" xr3:uid="{CD037A48-A4D9-4A84-8648-9A2F5C17978A}" name="Name" totalsRowDxfId="242"/>
    <tableColumn id="2" xr3:uid="{72FDBC02-16BE-457E-BFF3-D7561A0F25FE}" name="Quantity" dataDxfId="240" totalsRowDxfId="241"/>
    <tableColumn id="3" xr3:uid="{1BE96922-38DE-4C3C-990A-1E561F61FE7D}" name="Cost Per Unit (RM)" dataDxfId="238" totalsRowDxfId="239">
      <calculatedColumnFormula>IF(A10&lt;&gt;"",VLOOKUP(Table114193740105108111120123126129132120123[[#This Row],[Name]], MixedIngredientTable[], 4, FALSE),"")</calculatedColumnFormula>
    </tableColumn>
    <tableColumn id="4" xr3:uid="{A0C92F3A-AC68-432B-84E9-E7DE1A590D45}" name="Total Cost (RM)" totalsRowFunction="custom" dataDxfId="236" totalsRowDxfId="237">
      <calculatedColumnFormula>IF(Table114193740105108111120123126129132120123[[#This Row],[Name]]&lt;&gt;"",Table114193740105108111120123126129132120123[[#This Row],[Quantity]]*Table114193740105108111120123126129132120123[[#This Row],[Cost Per Unit (RM)]],"")</calculatedColumnFormula>
      <totalsRowFormula>SUM(Table114193740105108111120123126129132120123[Total Cost (RM)])</totalsRowFormula>
    </tableColumn>
  </tableColumns>
  <tableStyleInfo name="TableStyleLight1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9733C5BB-3033-49E4-9481-FFF8479C1F62}" name="Table1173538103106109118121124127130118145" displayName="Table1173538103106109118121124127130118145" ref="A15:D19" totalsRowCount="1">
  <autoFilter ref="A15:D18" xr:uid="{48F34297-3D1A-6F42-BDD9-7DAA7FCB178D}"/>
  <tableColumns count="4">
    <tableColumn id="1" xr3:uid="{6A0FE2FC-7B8C-4D8C-B38B-8A1A29796E27}" name="Name"/>
    <tableColumn id="2" xr3:uid="{736AFD33-30E5-4827-AA32-FC48B1A22858}" name="Quantity" dataDxfId="235"/>
    <tableColumn id="3" xr3:uid="{C705F275-FE94-4D2D-BA70-C62AD90D628F}" name="Cost Per Unit (RM)" dataDxfId="234">
      <calculatedColumnFormula>IF(A16&lt;&gt;"",VLOOKUP(Table1173538103106109118121124127130118145[[#This Row],[Name]], IngredientTable[], 6, FALSE),"")</calculatedColumnFormula>
    </tableColumn>
    <tableColumn id="4" xr3:uid="{85AD8750-1554-4C58-8C75-243D8B0DAAA2}" name="Total Cost (RM)" totalsRowFunction="custom" dataDxfId="232" totalsRowDxfId="233">
      <calculatedColumnFormula>IF(Table1173538103106109118121124127130118145[[#This Row],[Name]]&lt;&gt;"",Table1173538103106109118121124127130118145[[#This Row],[Quantity]]*Table1173538103106109118121124127130118145[[#This Row],[Cost Per Unit (RM)]],"")</calculatedColumnFormula>
      <totalsRowFormula>SUM(Table1173538103106109118121124127130118145[Total Cost (RM)])</totalsRowFormula>
    </tableColumn>
  </tableColumns>
  <tableStyleInfo name="TableStyleLight1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ED99CD36-EC57-44AE-B39F-18192B52295E}" name="Table4183639104107110119122125128131119146" displayName="Table4183639104107110119122125128131119146" ref="A21:D25" totalsRowCount="1" dataDxfId="231">
  <autoFilter ref="A21:D24" xr:uid="{306A8484-A1E7-DB41-9B44-FE1489A8EA09}"/>
  <tableColumns count="4">
    <tableColumn id="1" xr3:uid="{37A55086-4839-420D-B695-BA5C3709A32A}" name="Name" dataDxfId="230"/>
    <tableColumn id="2" xr3:uid="{EB0CCDEC-1316-4B25-8E5A-8B547D2F9E29}" name="Quantity" dataDxfId="228" totalsRowDxfId="229"/>
    <tableColumn id="3" xr3:uid="{1D611AAE-523B-43EC-9B89-73710FC9FF6C}" name="Cost Per Unit (RM)" dataDxfId="226" totalsRowDxfId="227">
      <calculatedColumnFormula>IF(A22&lt;&gt;"",VLOOKUP(Table4183639104107110119122125128131119146[[#This Row],[Name]], PackagingTable[], 6, FALSE),"")</calculatedColumnFormula>
    </tableColumn>
    <tableColumn id="4" xr3:uid="{88CC0307-5139-4A14-B075-7F51D3A704C6}" name="Total Cost (RM)" totalsRowFunction="custom" dataDxfId="224" totalsRowDxfId="225">
      <calculatedColumnFormula>IF(Table4183639104107110119122125128131119146[[#This Row],[Name]]&lt;&gt;"",Table4183639104107110119122125128131119146[[#This Row],[Quantity]]*Table4183639104107110119122125128131119146[[#This Row],[Cost Per Unit (RM)]],"")</calculatedColumnFormula>
      <totalsRowFormula>SUM(Table4183639104107110119122125128131119146[Total Cost (RM)])</totalsRowFormula>
    </tableColumn>
  </tableColumns>
  <tableStyleInfo name="TableStyleLight1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46FEDE26-F952-4641-8069-83CBE16C8401}" name="Table114193740105108111120123126129132120147" displayName="Table114193740105108111120123126129132120147" ref="A9:D12" totalsRowCount="1" tableBorderDxfId="223">
  <autoFilter ref="A9:D11" xr:uid="{52EF3BE0-44FD-7348-B971-54054A4F2090}"/>
  <tableColumns count="4">
    <tableColumn id="1" xr3:uid="{D4F37BAA-0F0D-4E73-967E-95DA7AF83F99}" name="Name" totalsRowDxfId="222"/>
    <tableColumn id="2" xr3:uid="{724DA703-9E09-4AC6-989B-19490A0860E0}" name="Quantity" dataDxfId="220" totalsRowDxfId="221"/>
    <tableColumn id="3" xr3:uid="{337FFE9A-5EA4-44C1-8881-F6599C5F9CCA}" name="Cost Per Unit (RM)" dataDxfId="218" totalsRowDxfId="219">
      <calculatedColumnFormula>IF(A10&lt;&gt;"",VLOOKUP(Table114193740105108111120123126129132120147[[#This Row],[Name]], MixedIngredientTable[], 4, FALSE),"")</calculatedColumnFormula>
    </tableColumn>
    <tableColumn id="4" xr3:uid="{2927FD6E-B678-4257-9200-16DE68BE59D3}" name="Total Cost (RM)" totalsRowFunction="custom" dataDxfId="216" totalsRowDxfId="217">
      <calculatedColumnFormula>IF(Table114193740105108111120123126129132120147[[#This Row],[Name]]&lt;&gt;"",Table114193740105108111120123126129132120147[[#This Row],[Quantity]]*Table114193740105108111120123126129132120147[[#This Row],[Cost Per Unit (RM)]],"")</calculatedColumnFormula>
      <totalsRowFormula>SUM(Table114193740105108111120123126129132120147[Total Cost (RM)])</totalsRowFormula>
    </tableColumn>
  </tableColumns>
  <tableStyleInfo name="TableStyleLight1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F46065BB-7CEF-466C-BF47-0D21A1F05BB9}" name="Table1173538103106109118121124127130118" displayName="Table1173538103106109118121124127130118" ref="A15:D19" totalsRowCount="1">
  <autoFilter ref="A15:D18" xr:uid="{48F34297-3D1A-6F42-BDD9-7DAA7FCB178D}"/>
  <tableColumns count="4">
    <tableColumn id="1" xr3:uid="{9A5BFF8C-6B26-480E-837E-238828642772}" name="Name"/>
    <tableColumn id="2" xr3:uid="{3E430F7E-2289-45A2-A2B9-2FAC9C38B394}" name="Quantity" dataDxfId="215"/>
    <tableColumn id="3" xr3:uid="{7C660C37-E82B-488D-BE75-FE49B30CCA89}" name="Cost Per Unit (RM)" dataDxfId="214">
      <calculatedColumnFormula>IF(A16&lt;&gt;"",VLOOKUP(Table1173538103106109118121124127130118[[#This Row],[Name]], IngredientTable[], 6, FALSE),"")</calculatedColumnFormula>
    </tableColumn>
    <tableColumn id="4" xr3:uid="{CB2E7C1F-9175-4769-85F5-2D4A414F1DD4}" name="Total Cost (RM)" totalsRowFunction="custom" dataDxfId="212" totalsRowDxfId="213">
      <calculatedColumnFormula>IF(Table1173538103106109118121124127130118[[#This Row],[Name]]&lt;&gt;"",Table1173538103106109118121124127130118[[#This Row],[Quantity]]*Table1173538103106109118121124127130118[[#This Row],[Cost Per Unit (RM)]],"")</calculatedColumnFormula>
      <totalsRowFormula>SUM(Table1173538103106109118121124127130118[Total Cost (RM)])</totalsRowFormula>
    </tableColumn>
  </tableColumns>
  <tableStyleInfo name="TableStyleLight1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56A32586-763B-40A5-9CFD-C01E72242DF7}" name="Table4183639104107110119122125128131119" displayName="Table4183639104107110119122125128131119" ref="A21:D25" totalsRowCount="1" dataDxfId="211">
  <autoFilter ref="A21:D24" xr:uid="{306A8484-A1E7-DB41-9B44-FE1489A8EA09}"/>
  <tableColumns count="4">
    <tableColumn id="1" xr3:uid="{27626DDB-4642-458F-BEC7-0A17DC3582C8}" name="Name" dataDxfId="210"/>
    <tableColumn id="2" xr3:uid="{5B7CB6BD-9260-49E0-ACB7-37A29982824D}" name="Quantity" dataDxfId="208" totalsRowDxfId="209"/>
    <tableColumn id="3" xr3:uid="{18C754B6-C00E-48AD-9CF0-293D1C956A85}" name="Cost Per Unit (RM)" dataDxfId="206" totalsRowDxfId="207">
      <calculatedColumnFormula>IF(A22&lt;&gt;"",VLOOKUP(Table4183639104107110119122125128131119[[#This Row],[Name]], PackagingTable[], 6, FALSE),"")</calculatedColumnFormula>
    </tableColumn>
    <tableColumn id="4" xr3:uid="{28EC8948-B62D-46E2-B665-DD9E3E9130D2}" name="Total Cost (RM)" totalsRowFunction="custom" dataDxfId="204" totalsRowDxfId="205">
      <calculatedColumnFormula>IF(Table4183639104107110119122125128131119[[#This Row],[Name]]&lt;&gt;"",Table4183639104107110119122125128131119[[#This Row],[Quantity]]*Table4183639104107110119122125128131119[[#This Row],[Cost Per Unit (RM)]],"")</calculatedColumnFormula>
      <totalsRowFormula>SUM(Table4183639104107110119122125128131119[Total Cost (RM)])</totalsRowFormula>
    </tableColumn>
  </tableColumns>
  <tableStyleInfo name="TableStyleLight1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58B2815E-FE57-4D2F-AB66-0FC748351A50}" name="Table114193740105108111120123126129132120" displayName="Table114193740105108111120123126129132120" ref="A9:D12" totalsRowCount="1" tableBorderDxfId="203">
  <autoFilter ref="A9:D11" xr:uid="{52EF3BE0-44FD-7348-B971-54054A4F2090}"/>
  <tableColumns count="4">
    <tableColumn id="1" xr3:uid="{97BA7F68-2913-4EC7-8E2A-DD8D9D419E77}" name="Name" totalsRowDxfId="202"/>
    <tableColumn id="2" xr3:uid="{33A8A571-8AD8-41BA-9FBA-25E33DBCA8F8}" name="Quantity" dataDxfId="200" totalsRowDxfId="201"/>
    <tableColumn id="3" xr3:uid="{436587B7-C50F-478D-A425-29EE5C39E4B0}" name="Cost Per Unit (RM)" dataDxfId="198" totalsRowDxfId="199">
      <calculatedColumnFormula>IF(A10&lt;&gt;"",VLOOKUP(Table114193740105108111120123126129132120[[#This Row],[Name]], MixedIngredientTable[], 4, FALSE),"")</calculatedColumnFormula>
    </tableColumn>
    <tableColumn id="4" xr3:uid="{AF380AD6-3BC0-4151-81DB-2A60DDDF565D}" name="Total Cost (RM)" totalsRowFunction="custom" dataDxfId="196" totalsRowDxfId="197">
      <calculatedColumnFormula>IF(Table114193740105108111120123126129132120[[#This Row],[Name]]&lt;&gt;"",Table114193740105108111120123126129132120[[#This Row],[Quantity]]*Table114193740105108111120123126129132120[[#This Row],[Cost Per Unit (RM)]],"")</calculatedColumnFormula>
      <totalsRowFormula>SUM(Table114193740105108111120123126129132120[Total Cost (RM)])</totalsRowFormula>
    </tableColumn>
  </tableColumns>
  <tableStyleInfo name="TableStyleLight1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61741D3B-FC4A-D44E-B2C0-6C9A08577459}" name="Table117359454851545760636669" displayName="Table117359454851545760636669" ref="A15:D19" totalsRowCount="1">
  <autoFilter ref="A15:D18" xr:uid="{48F34297-3D1A-6F42-BDD9-7DAA7FCB178D}"/>
  <tableColumns count="4">
    <tableColumn id="1" xr3:uid="{585EDE72-C294-2E49-B0CD-81F1C7AC3767}" name="Name"/>
    <tableColumn id="2" xr3:uid="{A74C24A2-3CFD-4F4D-A3AC-85737F4E39F4}" name="Quantity" dataDxfId="195"/>
    <tableColumn id="3" xr3:uid="{CFCFB1C2-B263-9341-B520-17F78D7FD473}" name="Cost Per Unit (RM)" dataDxfId="194">
      <calculatedColumnFormula>IF(A16&lt;&gt;"",VLOOKUP(Table117359454851545760636669[[#This Row],[Name]], IngredientTable[], 6, FALSE),"")</calculatedColumnFormula>
    </tableColumn>
    <tableColumn id="4" xr3:uid="{4E0B0403-FE6A-7745-BBFF-3C5751103C88}" name="Total Cost (RM)" totalsRowFunction="custom" dataDxfId="192" totalsRowDxfId="193">
      <calculatedColumnFormula>IF(Table117359454851545760636669[[#This Row],[Name]]&lt;&gt;"",Table117359454851545760636669[[#This Row],[Quantity]]*Table117359454851545760636669[[#This Row],[Cost Per Unit (RM)]],"")</calculatedColumnFormula>
      <totalsRowFormula>SUM(Table117359454851545760636669[Total Cost (RM)])</totalsRowFormula>
    </tableColumn>
  </tableColumns>
  <tableStyleInfo name="TableStyleLight1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4464229-797D-BD42-B03B-4894DC4D49F9}" name="Table4183612464952555861646770" displayName="Table4183612464952555861646770" ref="A22:D26" totalsRowCount="1" dataDxfId="191">
  <autoFilter ref="A22:D25" xr:uid="{306A8484-A1E7-DB41-9B44-FE1489A8EA09}"/>
  <tableColumns count="4">
    <tableColumn id="1" xr3:uid="{8BF8E18F-B4D6-6640-81B7-4B45337FC60F}" name="Name" dataDxfId="190"/>
    <tableColumn id="2" xr3:uid="{ADE3340D-18C1-6342-B806-56C2F5DBE180}" name="Quantity" dataDxfId="188" totalsRowDxfId="189"/>
    <tableColumn id="3" xr3:uid="{777963F0-5960-D54E-9498-1D9BEC28ADAA}" name="Cost Per Unit (RM)" dataDxfId="186" totalsRowDxfId="187">
      <calculatedColumnFormula>IF(A23&lt;&gt;"",VLOOKUP(Table4183612464952555861646770[[#This Row],[Name]], PackagingTable[], 6, FALSE),"")</calculatedColumnFormula>
    </tableColumn>
    <tableColumn id="4" xr3:uid="{5CC6A7B9-71A5-6A4D-9C5B-EB87048E0F41}" name="Total Cost (RM)" totalsRowFunction="custom" dataDxfId="184" totalsRowDxfId="185">
      <calculatedColumnFormula>IF(Table4183612464952555861646770[[#This Row],[Name]]&lt;&gt;"",Table4183612464952555861646770[[#This Row],[Quantity]]*Table4183612464952555861646770[[#This Row],[Cost Per Unit (RM)]],"")</calculatedColumnFormula>
      <totalsRowFormula>SUM(Table4183612464952555861646770[Total Cost (RM)])</totalsRowFormula>
    </tableColumn>
  </tableColumns>
  <tableStyleInfo name="TableStyleLight1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6F13F48A-9DF3-1B43-9A92-C3DB522ECC6A}" name="Table114193741475053565962656871" displayName="Table114193741475053565962656871" ref="A9:D12" totalsRowCount="1">
  <autoFilter ref="A9:D11" xr:uid="{52EF3BE0-44FD-7348-B971-54054A4F2090}"/>
  <tableColumns count="4">
    <tableColumn id="1" xr3:uid="{35D35DE2-593F-8342-9D5B-FDD55DF0441C}" name="Name"/>
    <tableColumn id="2" xr3:uid="{354D86CC-F916-EB42-B481-63333C7156CC}" name="Quantity" dataDxfId="183"/>
    <tableColumn id="3" xr3:uid="{FF01427F-54A8-164C-8FD5-80E754355974}" name="Cost Per Unit (RM)" dataDxfId="182">
      <calculatedColumnFormula>IF(A10&lt;&gt;"",VLOOKUP(Table114193741475053565962656871[[#This Row],[Name]], MixedIngredientTable[], 4, FALSE),"")</calculatedColumnFormula>
    </tableColumn>
    <tableColumn id="4" xr3:uid="{CF5CA46A-054B-AF42-8AC7-749EC96E817C}" name="Total Cost (RM)" totalsRowFunction="custom" dataDxfId="180" totalsRowDxfId="181">
      <calculatedColumnFormula>IF(Table114193741475053565962656871[[#This Row],[Name]]&lt;&gt;"",Table114193741475053565962656871[[#This Row],[Quantity]]*Table114193741475053565962656871[[#This Row],[Cost Per Unit (RM)]],"")</calculatedColumnFormula>
      <totalsRowFormula>SUM(Table114193741475053565962656871[Total Cost (RM)])</totalsRowFormula>
    </tableColumn>
  </tableColumns>
  <tableStyleInfo name="TableStyleLight1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3E8DD2D-92AC-B048-B613-EB30BC98CA46}" name="Table11735945485154576063666972" displayName="Table11735945485154576063666972" ref="A17:D21" totalsRowCount="1">
  <autoFilter ref="A17:D20" xr:uid="{48F34297-3D1A-6F42-BDD9-7DAA7FCB178D}"/>
  <tableColumns count="4">
    <tableColumn id="1" xr3:uid="{A4EA34CB-8CB6-7642-88AA-B82D23188994}" name="Name"/>
    <tableColumn id="2" xr3:uid="{781E0992-7372-DD46-8312-B9764D3D9E06}" name="Quantity" dataDxfId="179"/>
    <tableColumn id="3" xr3:uid="{205052A3-1172-7D41-8FB4-3FF6FAD4831A}" name="Cost Per Unit (RM)" dataDxfId="178">
      <calculatedColumnFormula>IF(A18&lt;&gt;"",VLOOKUP(Table11735945485154576063666972[[#This Row],[Name]], IngredientTable[], 6, FALSE),"")</calculatedColumnFormula>
    </tableColumn>
    <tableColumn id="4" xr3:uid="{11D3FC0F-A68E-514F-932C-4648A5EEF317}" name="Total Cost (RM)" totalsRowFunction="custom" dataDxfId="176" totalsRowDxfId="177">
      <calculatedColumnFormula>IF(Table11735945485154576063666972[[#This Row],[Name]]&lt;&gt;"",Table11735945485154576063666972[[#This Row],[Quantity]]*Table11735945485154576063666972[[#This Row],[Cost Per Unit (RM)]],"")</calculatedColumnFormula>
      <totalsRowFormula>SUM(Table11735945485154576063666972[Total Cost (RM)])</totalsRowFormula>
    </tableColumn>
  </tableColumns>
  <tableStyleInfo name="TableStyleLight1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37607C59-91B4-2543-B548-E45EAF47043A}" name="Table418361246495255586164677073" displayName="Table418361246495255586164677073" ref="A23:D27" totalsRowCount="1" dataDxfId="175">
  <autoFilter ref="A23:D26" xr:uid="{306A8484-A1E7-DB41-9B44-FE1489A8EA09}"/>
  <tableColumns count="4">
    <tableColumn id="1" xr3:uid="{0BD153DF-1122-E24B-8096-7C4BFB84D156}" name="Name" dataDxfId="174"/>
    <tableColumn id="2" xr3:uid="{5261BC62-5D7C-6540-92B2-E591DDB05CEF}" name="Quantity" dataDxfId="172" totalsRowDxfId="173"/>
    <tableColumn id="3" xr3:uid="{B0DF9275-BFA3-324F-B55C-0854EFE83F56}" name="Cost Per Unit (RM)" dataDxfId="170" totalsRowDxfId="171">
      <calculatedColumnFormula>IF(A24&lt;&gt;"",VLOOKUP(Table418361246495255586164677073[[#This Row],[Name]], PackagingTable[], 6, FALSE),"")</calculatedColumnFormula>
    </tableColumn>
    <tableColumn id="4" xr3:uid="{51E8FF04-9F67-A949-A779-6939636C0311}" name="Total Cost (RM)" totalsRowFunction="custom" dataDxfId="168" totalsRowDxfId="169">
      <calculatedColumnFormula>IF(Table418361246495255586164677073[[#This Row],[Name]]&lt;&gt;"",Table418361246495255586164677073[[#This Row],[Quantity]]*Table418361246495255586164677073[[#This Row],[Cost Per Unit (RM)]],"")</calculatedColumnFormula>
      <totalsRowFormula>SUM(Table418361246495255586164677073[Total Cost (RM)])</totalsRowFormula>
    </tableColumn>
  </tableColumns>
  <tableStyleInfo name="TableStyleLight1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2AA21E01-2F73-5246-81A3-CAD225E5A6FE}" name="Table11419374147505356596265687174" displayName="Table11419374147505356596265687174" ref="A10:D14" totalsRowCount="1">
  <autoFilter ref="A10:D13" xr:uid="{52EF3BE0-44FD-7348-B971-54054A4F2090}"/>
  <tableColumns count="4">
    <tableColumn id="1" xr3:uid="{E17FA7A0-4209-724A-A4E4-F332E15F06EB}" name="Name"/>
    <tableColumn id="2" xr3:uid="{6225DDF4-CA5B-DA42-8B02-43C0D202E6BD}" name="Quantity" dataDxfId="167"/>
    <tableColumn id="3" xr3:uid="{03DD95B8-E490-D542-9940-DC071A7BDD32}" name="Cost Per Unit (RM)" dataDxfId="166"/>
    <tableColumn id="4" xr3:uid="{DBC027CC-E75C-F246-B6B7-59F94C100EAE}" name="Total Cost (RM)" totalsRowFunction="custom" dataDxfId="164" totalsRowDxfId="165">
      <totalsRowFormula>SUM(Table11419374147505356596265687174[Total Cost (RM)])</totalsRowFormula>
    </tableColumn>
  </tableColumns>
  <tableStyleInfo name="TableStyleLight1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83486613-4886-4C82-B026-4361FC8FD2AA}" name="Table1173594548515457606366697291" displayName="Table1173594548515457606366697291" ref="A17:D21" totalsRowCount="1">
  <autoFilter ref="A17:D20" xr:uid="{48F34297-3D1A-6F42-BDD9-7DAA7FCB178D}"/>
  <tableColumns count="4">
    <tableColumn id="1" xr3:uid="{BF0D8B1F-7A00-4485-803E-DDFCAB7F0AC2}" name="Name"/>
    <tableColumn id="2" xr3:uid="{C7FA4825-8A73-4106-ADE1-54115AD6CACA}" name="Quantity" dataDxfId="163"/>
    <tableColumn id="3" xr3:uid="{1C92AAAA-9265-4978-B919-1EB079DDA36E}" name="Cost Per Unit (RM)" dataDxfId="162">
      <calculatedColumnFormula>IF(A18&lt;&gt;"",VLOOKUP(Table1173594548515457606366697291[[#This Row],[Name]], IngredientTable[], 6, FALSE),"")</calculatedColumnFormula>
    </tableColumn>
    <tableColumn id="4" xr3:uid="{58181063-8F2C-493B-9DBE-0C8B75211E5C}" name="Total Cost (RM)" totalsRowFunction="custom" dataDxfId="160" totalsRowDxfId="161">
      <calculatedColumnFormula>IF(Table1173594548515457606366697291[[#This Row],[Name]]&lt;&gt;"",Table1173594548515457606366697291[[#This Row],[Quantity]]*Table1173594548515457606366697291[[#This Row],[Cost Per Unit (RM)]],"")</calculatedColumnFormula>
      <totalsRowFormula>SUM(Table1173594548515457606366697291[Total Cost (RM)])</totalsRowFormula>
    </tableColumn>
  </tableColumns>
  <tableStyleInfo name="TableStyleLight1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6BBF0492-D653-42A0-AD3F-8474332F4F82}" name="Table41836124649525558616467707393" displayName="Table41836124649525558616467707393" ref="A23:D27" totalsRowCount="1" dataDxfId="159">
  <autoFilter ref="A23:D26" xr:uid="{306A8484-A1E7-DB41-9B44-FE1489A8EA09}"/>
  <tableColumns count="4">
    <tableColumn id="1" xr3:uid="{FB022AC2-8B8F-44E5-90F9-C76FFA28C75C}" name="Name" dataDxfId="158"/>
    <tableColumn id="2" xr3:uid="{5E7F8A6F-68C5-4A8D-9E5D-362D4575FB2E}" name="Quantity" dataDxfId="156" totalsRowDxfId="157"/>
    <tableColumn id="3" xr3:uid="{45EFAA2A-54C8-416D-9E9A-6E51FB06B6B2}" name="Cost Per Unit (RM)" dataDxfId="154" totalsRowDxfId="155">
      <calculatedColumnFormula>IF(A24&lt;&gt;"",VLOOKUP(Table41836124649525558616467707393[[#This Row],[Name]], PackagingTable[], 6, FALSE),"")</calculatedColumnFormula>
    </tableColumn>
    <tableColumn id="4" xr3:uid="{C80B8E91-8931-4EA0-88EA-8A1C0EA8D0B1}" name="Total Cost (RM)" totalsRowFunction="custom" dataDxfId="152" totalsRowDxfId="153">
      <calculatedColumnFormula>IF(Table41836124649525558616467707393[[#This Row],[Name]]&lt;&gt;"",Table41836124649525558616467707393[[#This Row],[Quantity]]*Table41836124649525558616467707393[[#This Row],[Cost Per Unit (RM)]],"")</calculatedColumnFormula>
      <totalsRowFormula>SUM(Table41836124649525558616467707393[Total Cost (RM)])</totalsRowFormula>
    </tableColumn>
  </tableColumns>
  <tableStyleInfo name="TableStyleLight1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F63E4D8-5CA8-4FDA-89E3-3B1F08A0C216}" name="Table1141937414750535659626568717494" displayName="Table1141937414750535659626568717494" ref="A10:D14" totalsRowCount="1">
  <autoFilter ref="A10:D13" xr:uid="{52EF3BE0-44FD-7348-B971-54054A4F2090}"/>
  <tableColumns count="4">
    <tableColumn id="1" xr3:uid="{27EF78BF-C55B-47AF-9585-5E6FBEABBD5B}" name="Name"/>
    <tableColumn id="2" xr3:uid="{6EA90EB1-4B8E-49AE-B9A1-7F688A3E7D8B}" name="Quantity" dataDxfId="151"/>
    <tableColumn id="3" xr3:uid="{BB14D99D-F0FF-4D88-B885-3F9578F59B84}" name="Cost Per Unit (RM)" dataDxfId="150"/>
    <tableColumn id="4" xr3:uid="{72AE1F9F-C36D-4199-8F4B-ECB366B3F36E}" name="Total Cost (RM)" totalsRowFunction="custom" dataDxfId="148" totalsRowDxfId="149">
      <totalsRowFormula>SUM(Table1141937414750535659626568717494[Total Cost (RM)])</totalsRowFormula>
    </tableColumn>
  </tableColumns>
  <tableStyleInfo name="TableStyleLight1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C85D305-4268-4B46-8593-5738B7C05893}" name="Table117359454851545760636669729195" displayName="Table117359454851545760636669729195" ref="A17:D21" totalsRowCount="1">
  <autoFilter ref="A17:D20" xr:uid="{48F34297-3D1A-6F42-BDD9-7DAA7FCB178D}"/>
  <tableColumns count="4">
    <tableColumn id="1" xr3:uid="{F40F96AA-719E-4812-9AD8-158F11901EEB}" name="Name"/>
    <tableColumn id="2" xr3:uid="{DDE9EB6D-DDC6-4E8A-88D7-7E437444FA81}" name="Quantity" dataDxfId="147"/>
    <tableColumn id="3" xr3:uid="{9DC04743-DA47-4DE7-A92C-7BD5309C13BC}" name="Cost Per Unit (RM)" dataDxfId="146">
      <calculatedColumnFormula>IF(A18&lt;&gt;"",VLOOKUP(Table117359454851545760636669729195[[#This Row],[Name]], IngredientTable[], 6, FALSE),"")</calculatedColumnFormula>
    </tableColumn>
    <tableColumn id="4" xr3:uid="{46BA67C6-2ED4-43E4-AE3E-AB196987C5BE}" name="Total Cost (RM)" totalsRowFunction="custom" dataDxfId="144" totalsRowDxfId="145">
      <calculatedColumnFormula>IF(Table117359454851545760636669729195[[#This Row],[Name]]&lt;&gt;"",Table117359454851545760636669729195[[#This Row],[Quantity]]*Table117359454851545760636669729195[[#This Row],[Cost Per Unit (RM)]],"")</calculatedColumnFormula>
      <totalsRowFormula>SUM(Table117359454851545760636669729195[Total Cost (RM)])</totalsRowFormula>
    </tableColumn>
  </tableColumns>
  <tableStyleInfo name="TableStyleLight1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C49AB737-6BC3-4408-BBE2-D1AE85BB8902}" name="Table4183612464952555861646770739396" displayName="Table4183612464952555861646770739396" ref="A23:D27" totalsRowCount="1" dataDxfId="143">
  <autoFilter ref="A23:D26" xr:uid="{306A8484-A1E7-DB41-9B44-FE1489A8EA09}"/>
  <tableColumns count="4">
    <tableColumn id="1" xr3:uid="{D37D3CBA-3D8A-4262-AD02-027313B5BBD7}" name="Name" dataDxfId="142"/>
    <tableColumn id="2" xr3:uid="{03F38747-7F83-4754-A35F-014F41CEE0B7}" name="Quantity" dataDxfId="140" totalsRowDxfId="141"/>
    <tableColumn id="3" xr3:uid="{92C8FE9C-1EBA-42A9-A1E6-4754918BE55B}" name="Cost Per Unit (RM)" dataDxfId="138" totalsRowDxfId="139">
      <calculatedColumnFormula>IF(A24&lt;&gt;"",VLOOKUP(Table4183612464952555861646770739396[[#This Row],[Name]], PackagingTable[], 6, FALSE),"")</calculatedColumnFormula>
    </tableColumn>
    <tableColumn id="4" xr3:uid="{E1C1F89E-A66F-4296-A926-3DAC2E6DA6B0}" name="Total Cost (RM)" totalsRowFunction="custom" dataDxfId="136" totalsRowDxfId="137">
      <calculatedColumnFormula>IF(Table4183612464952555861646770739396[[#This Row],[Name]]&lt;&gt;"",Table4183612464952555861646770739396[[#This Row],[Quantity]]*Table4183612464952555861646770739396[[#This Row],[Cost Per Unit (RM)]],"")</calculatedColumnFormula>
      <totalsRowFormula>SUM(Table4183612464952555861646770739396[Total Cost (RM)])</totalsRowFormula>
    </tableColumn>
  </tableColumns>
  <tableStyleInfo name="TableStyleLight1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60A195B3-8AB8-4679-8D22-A3BA4A0C73E0}" name="Table114193741475053565962656871749497" displayName="Table114193741475053565962656871749497" ref="A10:D14" totalsRowCount="1">
  <autoFilter ref="A10:D13" xr:uid="{52EF3BE0-44FD-7348-B971-54054A4F2090}"/>
  <tableColumns count="4">
    <tableColumn id="1" xr3:uid="{AADCA8C5-E3CB-4642-AC9B-E7009F110721}" name="Name"/>
    <tableColumn id="2" xr3:uid="{E7BF9B95-DC64-4A8B-96A5-E5646E683367}" name="Quantity" dataDxfId="135"/>
    <tableColumn id="3" xr3:uid="{50CBF0E6-40E7-494D-9DC0-FB48529A505D}" name="Cost Per Unit (RM)" dataDxfId="134"/>
    <tableColumn id="4" xr3:uid="{04C34DF1-1173-4D24-A083-9BE152252F0D}" name="Total Cost (RM)" totalsRowFunction="custom" dataDxfId="132" totalsRowDxfId="133">
      <totalsRowFormula>SUM(Table114193741475053565962656871749497[Total Cost (RM)])</totalsRowFormula>
    </tableColumn>
  </tableColumns>
  <tableStyleInfo name="TableStyleLight1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415748EE-19CA-40DB-B950-FD906434E48D}" name="Table11735945485154576063666972919598" displayName="Table11735945485154576063666972919598" ref="A17:D21" totalsRowCount="1">
  <autoFilter ref="A17:D20" xr:uid="{48F34297-3D1A-6F42-BDD9-7DAA7FCB178D}"/>
  <tableColumns count="4">
    <tableColumn id="1" xr3:uid="{090714A5-B76F-4C0E-8E1B-7C8A8B928AC3}" name="Name"/>
    <tableColumn id="2" xr3:uid="{62895D1F-FCFE-49D7-8440-BC87C6AAB39F}" name="Quantity" dataDxfId="131"/>
    <tableColumn id="3" xr3:uid="{9D5161A4-A84F-4CA7-A412-F17D9F94E190}" name="Cost Per Unit (RM)" dataDxfId="130">
      <calculatedColumnFormula>IF(A18&lt;&gt;"",VLOOKUP(Table11735945485154576063666972919598[[#This Row],[Name]], IngredientTable[], 6, FALSE),"")</calculatedColumnFormula>
    </tableColumn>
    <tableColumn id="4" xr3:uid="{F8A1CAF2-B8E9-4D2A-B75E-94A7E9C2C229}" name="Total Cost (RM)" totalsRowFunction="custom" dataDxfId="128" totalsRowDxfId="129">
      <calculatedColumnFormula>IF(Table11735945485154576063666972919598[[#This Row],[Name]]&lt;&gt;"",Table11735945485154576063666972919598[[#This Row],[Quantity]]*Table11735945485154576063666972919598[[#This Row],[Cost Per Unit (RM)]],"")</calculatedColumnFormula>
      <totalsRowFormula>SUM(Table11735945485154576063666972919598[Total Cost (RM)])</totalsRowFormula>
    </tableColumn>
  </tableColumns>
  <tableStyleInfo name="TableStyleLight1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AA52E78C-4E0D-4537-9461-5A79897334C9}" name="Table418361246495255586164677073939699" displayName="Table418361246495255586164677073939699" ref="A23:D27" totalsRowCount="1" dataDxfId="127">
  <autoFilter ref="A23:D26" xr:uid="{306A8484-A1E7-DB41-9B44-FE1489A8EA09}"/>
  <tableColumns count="4">
    <tableColumn id="1" xr3:uid="{8E2B1BFD-EBE3-4AED-98E4-E14E7B1CD95C}" name="Name" dataDxfId="126"/>
    <tableColumn id="2" xr3:uid="{ADB0668A-72F6-48D6-AF3E-21920CC655D0}" name="Quantity" dataDxfId="124" totalsRowDxfId="125"/>
    <tableColumn id="3" xr3:uid="{1078653C-0BAA-4E4F-A27D-7FED0711575E}" name="Cost Per Unit (RM)" dataDxfId="122" totalsRowDxfId="123">
      <calculatedColumnFormula>IF(A24&lt;&gt;"",VLOOKUP(Table418361246495255586164677073939699[[#This Row],[Name]], PackagingTable[], 6, FALSE),"")</calculatedColumnFormula>
    </tableColumn>
    <tableColumn id="4" xr3:uid="{38026DC3-EC04-46E8-8AB7-3536FCEB46E6}" name="Total Cost (RM)" totalsRowFunction="custom" dataDxfId="120" totalsRowDxfId="121">
      <calculatedColumnFormula>IF(Table418361246495255586164677073939699[[#This Row],[Name]]&lt;&gt;"",Table418361246495255586164677073939699[[#This Row],[Quantity]]*Table418361246495255586164677073939699[[#This Row],[Cost Per Unit (RM)]],"")</calculatedColumnFormula>
      <totalsRowFormula>SUM(Table418361246495255586164677073939699[Total Cost (RM)])</totalsRowFormula>
    </tableColumn>
  </tableColumns>
  <tableStyleInfo name="TableStyleLight1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4FD8713C-78F9-41CE-A531-56CE42D52249}" name="Table114193741475053565962656871749497100" displayName="Table114193741475053565962656871749497100" ref="A10:D14" totalsRowCount="1">
  <autoFilter ref="A10:D13" xr:uid="{52EF3BE0-44FD-7348-B971-54054A4F2090}"/>
  <tableColumns count="4">
    <tableColumn id="1" xr3:uid="{7E186B20-5CBC-4AD7-8242-7474265F230A}" name="Name"/>
    <tableColumn id="2" xr3:uid="{17E7E379-E222-4ED9-8435-CDFCA83E71F3}" name="Quantity" dataDxfId="119"/>
    <tableColumn id="3" xr3:uid="{5CE63D90-5843-4D06-862F-6A1B30731951}" name="Cost Per Unit (RM)" dataDxfId="118"/>
    <tableColumn id="4" xr3:uid="{76A3B34F-61CE-4C48-BA6A-3A8F0E15E572}" name="Total Cost (RM)" totalsRowFunction="custom" dataDxfId="116" totalsRowDxfId="117">
      <totalsRowFormula>SUM(Table114193741475053565962656871749497100[Total Cost (RM)])</totalsRowFormula>
    </tableColumn>
  </tableColumns>
  <tableStyleInfo name="TableStyleLight1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B19F56B3-EF2F-4FFF-9948-30054657F2CF}" name="Table1173594548515457606366697275" displayName="Table1173594548515457606366697275" ref="A15:D19" totalsRowCount="1">
  <autoFilter ref="A15:D18" xr:uid="{48F34297-3D1A-6F42-BDD9-7DAA7FCB178D}"/>
  <tableColumns count="4">
    <tableColumn id="1" xr3:uid="{C764863F-183F-42DF-A031-3F7A8A42F494}" name="Name"/>
    <tableColumn id="2" xr3:uid="{B2686E14-F287-41EC-A201-8C26E24AEED1}" name="Quantity" dataDxfId="115"/>
    <tableColumn id="3" xr3:uid="{8EB53DD6-DB0B-4078-84A2-F47C00AAF9BB}" name="Cost Per Unit (RM)" dataDxfId="114">
      <calculatedColumnFormula>IF(A16&lt;&gt;"",VLOOKUP(Table1173594548515457606366697275[[#This Row],[Name]], IngredientTable[], 6, FALSE),"")</calculatedColumnFormula>
    </tableColumn>
    <tableColumn id="4" xr3:uid="{840308D3-7FE3-4E3B-83EA-87DD8B534BCF}" name="Total Cost (RM)" totalsRowFunction="custom" dataDxfId="112" totalsRowDxfId="113">
      <calculatedColumnFormula>IF(Table1173594548515457606366697275[[#This Row],[Name]]&lt;&gt;"",Table1173594548515457606366697275[[#This Row],[Quantity]]*Table1173594548515457606366697275[[#This Row],[Cost Per Unit (RM)]],"")</calculatedColumnFormula>
      <totalsRowFormula>SUM(Table1173594548515457606366697275[Total Cost (RM)])</totalsRowFormula>
    </tableColumn>
  </tableColumns>
  <tableStyleInfo name="TableStyleLight1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D570BAD-FCB3-403C-8EE2-B412B4BD4184}" name="Table41836124649525558616467707376" displayName="Table41836124649525558616467707376" ref="A21:D25" totalsRowCount="1" dataDxfId="111">
  <autoFilter ref="A21:D24" xr:uid="{306A8484-A1E7-DB41-9B44-FE1489A8EA09}"/>
  <tableColumns count="4">
    <tableColumn id="1" xr3:uid="{5B0BD5C2-E2D6-4328-803B-D58A7B24082A}" name="Name" dataDxfId="110"/>
    <tableColumn id="2" xr3:uid="{E714CBBE-D981-4FBA-8D5F-1314C54AE10C}" name="Quantity" dataDxfId="108" totalsRowDxfId="109"/>
    <tableColumn id="3" xr3:uid="{2ADEDED5-3FA4-4C49-B964-B2D825A8EFCE}" name="Cost Per Unit (RM)" dataDxfId="106" totalsRowDxfId="107">
      <calculatedColumnFormula>IF(A22&lt;&gt;"",VLOOKUP(Table41836124649525558616467707376[[#This Row],[Name]], PackagingTable[], 6, FALSE),"")</calculatedColumnFormula>
    </tableColumn>
    <tableColumn id="4" xr3:uid="{13F413EE-BCA7-4930-B640-9796D1B67D31}" name="Total Cost (RM)" totalsRowFunction="custom" dataDxfId="104" totalsRowDxfId="105">
      <calculatedColumnFormula>IF(Table41836124649525558616467707376[[#This Row],[Name]]&lt;&gt;"",Table41836124649525558616467707376[[#This Row],[Quantity]]*Table41836124649525558616467707376[[#This Row],[Cost Per Unit (RM)]],"")</calculatedColumnFormula>
      <totalsRowFormula>SUM(Table41836124649525558616467707376[Total Cost (RM)])</totalsRowFormula>
    </tableColumn>
  </tableColumns>
  <tableStyleInfo name="TableStyleLight1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2275B123-A9B5-4273-964A-136EB7A09C2C}" name="Table1141937414750535659626568717477" displayName="Table1141937414750535659626568717477" ref="A9:D12" totalsRowCount="1">
  <autoFilter ref="A9:D11" xr:uid="{52EF3BE0-44FD-7348-B971-54054A4F2090}"/>
  <tableColumns count="4">
    <tableColumn id="1" xr3:uid="{6EDB7EA8-4840-48F1-BAB6-E2E85E0B26A3}" name="Name"/>
    <tableColumn id="2" xr3:uid="{3597019C-1A52-4658-9059-00415FBBBF26}" name="Quantity" dataDxfId="103"/>
    <tableColumn id="3" xr3:uid="{E597B856-7A64-4355-BCE3-75007C0153CB}" name="Cost Per Unit (RM)" dataDxfId="102">
      <calculatedColumnFormula>IF(A10&lt;&gt;"",VLOOKUP(Table1141937414750535659626568717477[[#This Row],[Name]], MixedIngredientTable[], 4, FALSE),"")</calculatedColumnFormula>
    </tableColumn>
    <tableColumn id="4" xr3:uid="{D10AE921-FD32-4DB3-BAC9-0C6420713B6B}" name="Total Cost (RM)" totalsRowFunction="custom" dataDxfId="100" totalsRowDxfId="101">
      <calculatedColumnFormula>IF(Table1141937414750535659626568717477[[#This Row],[Name]]&lt;&gt;"",Table1141937414750535659626568717477[[#This Row],[Quantity]]*Table1141937414750535659626568717477[[#This Row],[Cost Per Unit (RM)]],"")</calculatedColumnFormula>
      <totalsRowFormula>SUM(Table1141937414750535659626568717477[Total Cost (RM)])</totalsRowFormula>
    </tableColumn>
  </tableColumns>
  <tableStyleInfo name="TableStyleLight1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D03D533B-0F34-407A-A09D-BC924E97E162}" name="Table117359454851545760636669727579" displayName="Table117359454851545760636669727579" ref="A15:D19" totalsRowCount="1">
  <autoFilter ref="A15:D18" xr:uid="{48F34297-3D1A-6F42-BDD9-7DAA7FCB178D}"/>
  <tableColumns count="4">
    <tableColumn id="1" xr3:uid="{5F5671F1-402C-4DDE-84EA-D6B9DB185CC2}" name="Name"/>
    <tableColumn id="2" xr3:uid="{CA1B3EF4-200A-43E7-B47F-63DE141F4199}" name="Quantity" dataDxfId="99"/>
    <tableColumn id="3" xr3:uid="{18C0776F-C33C-405E-8836-43F5D71922B3}" name="Cost Per Unit (RM)" dataDxfId="98">
      <calculatedColumnFormula>IF(A16&lt;&gt;"",VLOOKUP(Table117359454851545760636669727579[[#This Row],[Name]], IngredientTable[], 6, FALSE),"")</calculatedColumnFormula>
    </tableColumn>
    <tableColumn id="4" xr3:uid="{7D2244AD-41E1-4CF6-8A2C-9B74BB927AA0}" name="Total Cost (RM)" totalsRowFunction="custom" dataDxfId="96" totalsRowDxfId="97">
      <calculatedColumnFormula>IF(Table117359454851545760636669727579[[#This Row],[Name]]&lt;&gt;"",Table117359454851545760636669727579[[#This Row],[Quantity]]*Table117359454851545760636669727579[[#This Row],[Cost Per Unit (RM)]],"")</calculatedColumnFormula>
      <totalsRowFormula>SUM(Table117359454851545760636669727579[Total Cost (RM)])</totalsRowFormula>
    </tableColumn>
  </tableColumns>
  <tableStyleInfo name="TableStyleLight1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C804BB78-166C-4E1E-A0FE-B56C4F6E5E2E}" name="Table4183612464952555861646770737684" displayName="Table4183612464952555861646770737684" ref="A21:D25" totalsRowCount="1" dataDxfId="95">
  <autoFilter ref="A21:D24" xr:uid="{306A8484-A1E7-DB41-9B44-FE1489A8EA09}"/>
  <tableColumns count="4">
    <tableColumn id="1" xr3:uid="{1A8D173A-9BAC-469C-89D9-FACD4EEFA251}" name="Name" dataDxfId="94"/>
    <tableColumn id="2" xr3:uid="{7658DF1D-32B6-48A5-92AA-0ECB9D93906F}" name="Quantity" dataDxfId="92" totalsRowDxfId="93"/>
    <tableColumn id="3" xr3:uid="{C6446E49-F6D2-47AF-A501-36E6A1B6F311}" name="Cost Per Unit (RM)" dataDxfId="90" totalsRowDxfId="91">
      <calculatedColumnFormula>IF(A22&lt;&gt;"",VLOOKUP(Table4183612464952555861646770737684[[#This Row],[Name]], PackagingTable[], 6, FALSE),"")</calculatedColumnFormula>
    </tableColumn>
    <tableColumn id="4" xr3:uid="{3098C625-8826-42CC-9856-B199AAABA972}" name="Total Cost (RM)" totalsRowFunction="custom" dataDxfId="88" totalsRowDxfId="89">
      <calculatedColumnFormula>IF(Table4183612464952555861646770737684[[#This Row],[Name]]&lt;&gt;"",Table4183612464952555861646770737684[[#This Row],[Quantity]]*Table4183612464952555861646770737684[[#This Row],[Cost Per Unit (RM)]],"")</calculatedColumnFormula>
      <totalsRowFormula>SUM(Table4183612464952555861646770737684[Total Cost (RM)])</totalsRowFormula>
    </tableColumn>
  </tableColumns>
  <tableStyleInfo name="TableStyleLight1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69B6406B-0C03-4794-AE90-4568EEC53344}" name="Table114193741475053565962656871747790" displayName="Table114193741475053565962656871747790" ref="A9:D12" totalsRowCount="1">
  <autoFilter ref="A9:D11" xr:uid="{52EF3BE0-44FD-7348-B971-54054A4F2090}"/>
  <tableColumns count="4">
    <tableColumn id="1" xr3:uid="{CA3B270A-026D-48BE-99F0-224466511E56}" name="Name"/>
    <tableColumn id="2" xr3:uid="{E455E6BE-D00E-49D1-8375-52F1A3F1A481}" name="Quantity" dataDxfId="87"/>
    <tableColumn id="3" xr3:uid="{DCACB05F-590B-40A5-A273-19CC41D79D82}" name="Cost Per Unit (RM)" dataDxfId="86">
      <calculatedColumnFormula>IF(A10&lt;&gt;"",VLOOKUP(Table114193741475053565962656871747790[[#This Row],[Name]], MixedIngredientTable[], 4, FALSE),"")</calculatedColumnFormula>
    </tableColumn>
    <tableColumn id="4" xr3:uid="{A602660A-BFEA-4E98-A166-F53E34DF84FA}" name="Total Cost (RM)" totalsRowFunction="custom" dataDxfId="84" totalsRowDxfId="85">
      <calculatedColumnFormula>IF(Table114193741475053565962656871747790[[#This Row],[Name]]&lt;&gt;"",Table114193741475053565962656871747790[[#This Row],[Quantity]]*Table114193741475053565962656871747790[[#This Row],[Cost Per Unit (RM)]],"")</calculatedColumnFormula>
      <totalsRowFormula>SUM(Table114193741475053565962656871747790[Total Cost (RM)])</totalsRowFormula>
    </tableColumn>
  </tableColumns>
  <tableStyleInfo name="TableStyleLight1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3CCE64E0-AF8F-4DA1-AAA6-DFE23311D146}" name="Table117359454851545760636669727579142" displayName="Table117359454851545760636669727579142" ref="A15:D19" totalsRowCount="1">
  <autoFilter ref="A15:D18" xr:uid="{48F34297-3D1A-6F42-BDD9-7DAA7FCB178D}"/>
  <tableColumns count="4">
    <tableColumn id="1" xr3:uid="{6F077E41-A34B-441C-9907-CE8A9F4C0480}" name="Name"/>
    <tableColumn id="2" xr3:uid="{8A388877-4F1C-465E-A476-241FE5BCDB04}" name="Quantity" dataDxfId="83"/>
    <tableColumn id="3" xr3:uid="{BC911F47-F775-4073-9681-0987684D7B26}" name="Cost Per Unit (RM)" dataDxfId="82">
      <calculatedColumnFormula>IF(A16&lt;&gt;"",VLOOKUP(Table117359454851545760636669727579142[[#This Row],[Name]], IngredientTable[], 6, FALSE),"")</calculatedColumnFormula>
    </tableColumn>
    <tableColumn id="4" xr3:uid="{FCD27B5E-531C-45E7-9FB5-D3AC4DD04963}" name="Total Cost (RM)" totalsRowFunction="custom" dataDxfId="80" totalsRowDxfId="81">
      <calculatedColumnFormula>IF(Table117359454851545760636669727579142[[#This Row],[Name]]&lt;&gt;"",Table117359454851545760636669727579142[[#This Row],[Quantity]]*Table117359454851545760636669727579142[[#This Row],[Cost Per Unit (RM)]],"")</calculatedColumnFormula>
      <totalsRowFormula>SUM(Table117359454851545760636669727579142[Total Cost (RM)])</totalsRowFormula>
    </tableColumn>
  </tableColumns>
  <tableStyleInfo name="TableStyleLight1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743F3BE-D3BD-4E90-A81E-0D6A5772BFD5}" name="Table4183612464952555861646770737684143" displayName="Table4183612464952555861646770737684143" ref="A22:D26" totalsRowCount="1" dataDxfId="79">
  <autoFilter ref="A22:D25" xr:uid="{306A8484-A1E7-DB41-9B44-FE1489A8EA09}"/>
  <tableColumns count="4">
    <tableColumn id="1" xr3:uid="{C6C0E2EF-203D-479B-94D9-94508862B4D6}" name="Name" dataDxfId="78"/>
    <tableColumn id="2" xr3:uid="{99B7D1B1-9713-4701-A363-0B94D194B902}" name="Quantity" dataDxfId="76" totalsRowDxfId="77"/>
    <tableColumn id="3" xr3:uid="{B840461C-5708-4573-AFA0-0E58292708DC}" name="Cost Per Unit (RM)" dataDxfId="74" totalsRowDxfId="75">
      <calculatedColumnFormula>IF(A23&lt;&gt;"",VLOOKUP(Table4183612464952555861646770737684143[[#This Row],[Name]], PackagingTable[], 6, FALSE),"")</calculatedColumnFormula>
    </tableColumn>
    <tableColumn id="4" xr3:uid="{06FAA21E-EFC7-40E6-8A77-AD26E9D611CB}" name="Total Cost (RM)" totalsRowFunction="custom" dataDxfId="72" totalsRowDxfId="73">
      <calculatedColumnFormula>IF(Table4183612464952555861646770737684143[[#This Row],[Name]]&lt;&gt;"",Table4183612464952555861646770737684143[[#This Row],[Quantity]]*Table4183612464952555861646770737684143[[#This Row],[Cost Per Unit (RM)]],"")</calculatedColumnFormula>
      <totalsRowFormula>SUM(Table4183612464952555861646770737684143[Total Cost (RM)])</totalsRowFormula>
    </tableColumn>
  </tableColumns>
  <tableStyleInfo name="TableStyleLight1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8B44A63C-2F24-44FC-BB6A-2571D9465F55}" name="Table114193741475053565962656871747790144" displayName="Table114193741475053565962656871747790144" ref="A9:D12" totalsRowCount="1">
  <autoFilter ref="A9:D11" xr:uid="{52EF3BE0-44FD-7348-B971-54054A4F2090}"/>
  <tableColumns count="4">
    <tableColumn id="1" xr3:uid="{D640265E-99E7-458A-98FB-9421E989A16E}" name="Name"/>
    <tableColumn id="2" xr3:uid="{FCB911B5-7B00-4D94-B814-37ED01E89D06}" name="Quantity" dataDxfId="71"/>
    <tableColumn id="3" xr3:uid="{BA73704D-E062-4CF5-A7E7-6E489A350B0A}" name="Cost Per Unit (RM)" dataDxfId="70">
      <calculatedColumnFormula>IF(A10&lt;&gt;"",VLOOKUP(Table114193741475053565962656871747790144[[#This Row],[Name]], MixedIngredientTable[], 4, FALSE),"")</calculatedColumnFormula>
    </tableColumn>
    <tableColumn id="4" xr3:uid="{09AF5892-A7DC-474D-86F2-9303FBC7E1A2}" name="Total Cost (RM)" totalsRowFunction="custom" dataDxfId="68" totalsRowDxfId="69">
      <calculatedColumnFormula>IF(Table114193741475053565962656871747790144[[#This Row],[Name]]&lt;&gt;"",Table114193741475053565962656871747790144[[#This Row],[Quantity]]*Table114193741475053565962656871747790144[[#This Row],[Cost Per Unit (RM)]],"")</calculatedColumnFormula>
      <totalsRowFormula>SUM(Table114193741475053565962656871747790144[Total Cost (RM)])</totalsRowFormula>
    </tableColumn>
  </tableColumns>
  <tableStyleInfo name="TableStyleLight1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90EE20C0-6526-402B-B3D9-35A736E33D4C}" name="MixedIngredientTable78" displayName="MixedIngredientTable78" ref="A3:D8" totalsRowShown="0" headerRowDxfId="67" dataDxfId="66" headerRowBorderDxfId="64" tableBorderDxfId="65">
  <autoFilter ref="A3:D8" xr:uid="{8AEC901E-15D1-7A44-9B79-6CE8CD6AB7CB}"/>
  <tableColumns count="4">
    <tableColumn id="1" xr3:uid="{90D0DF71-8B37-4284-A04E-D6902A403D1B}" name="Name" dataDxfId="63"/>
    <tableColumn id="2" xr3:uid="{29699B72-544D-4CBC-BF68-295348CEB4AC}" name="Total Cost (RM)" dataDxfId="62">
      <calculatedColumnFormula array="1">IF(MixedIngredientTable78[[#This Row],[Name]]&lt;&gt;"",INDIRECT("'" &amp; MixedIngredientTable78[[#This Row],[Name]] &amp; "'!A5"),"")</calculatedColumnFormula>
    </tableColumn>
    <tableColumn id="3" xr3:uid="{5FDD79E8-F34B-4AD4-9A68-8DC4532FD99D}" name="Total Units" dataDxfId="61">
      <calculatedColumnFormula array="1">IF(MixedIngredientTable78[[#This Row],[Name]]&lt;&gt;"",INDIRECT("'" &amp; MixedIngredientTable78[[#This Row],[Name]] &amp; "'!B5"),"")</calculatedColumnFormula>
    </tableColumn>
    <tableColumn id="4" xr3:uid="{814D5707-1082-4099-8645-950F45DA5232}" name="Cost Per Unit (RM)" dataDxfId="60">
      <calculatedColumnFormula>IF(MixedIngredientTable78[[#This Row],[Name]]&lt;&gt;"",MixedIngredientTable78[[#This Row],[Total Cost (RM)]]/MixedIngredientTable78[[#This Row],[Total Units]],"")</calculatedColumnFormula>
    </tableColumn>
  </tableColumns>
  <tableStyleInfo name="TableStyleLight1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6767EF9C-2A72-41CE-96C6-C43BAB0BB589}" name="Table418361246495255586164677073768082" displayName="Table418361246495255586164677073768082" ref="A15:D18" totalsRowCount="1" dataDxfId="59">
  <autoFilter ref="A15:D17" xr:uid="{306A8484-A1E7-DB41-9B44-FE1489A8EA09}"/>
  <tableColumns count="4">
    <tableColumn id="1" xr3:uid="{F9F36F37-A999-4F86-9817-CCD8CF5E608D}" name="Name" dataDxfId="58"/>
    <tableColumn id="2" xr3:uid="{E3A06AFB-43BD-4377-AED6-73EBF64A7BB6}" name="Quantity" dataDxfId="56" totalsRowDxfId="57"/>
    <tableColumn id="3" xr3:uid="{16D97486-1480-4B98-9420-E70D610127F1}" name="Cost Per Unit (RM)" dataDxfId="54" totalsRowDxfId="55">
      <calculatedColumnFormula>IF(A16&lt;&gt;"",VLOOKUP(Table418361246495255586164677073768082[[#This Row],[Name]], PackagingTable[], 6, FALSE),"")</calculatedColumnFormula>
    </tableColumn>
    <tableColumn id="4" xr3:uid="{BB7F8208-BEE3-4ECB-976C-319DCA4880D2}" name="Total Cost (RM)" totalsRowFunction="custom" dataDxfId="52" totalsRowDxfId="53">
      <calculatedColumnFormula>IF(Table418361246495255586164677073768082[[#This Row],[Name]]&lt;&gt;"",Table418361246495255586164677073768082[[#This Row],[Quantity]]*Table418361246495255586164677073768082[[#This Row],[Cost Per Unit (RM)]],"")</calculatedColumnFormula>
      <totalsRowFormula>SUM(Table418361246495255586164677073768082[Total Cost (RM)])</totalsRowFormula>
    </tableColumn>
  </tableColumns>
  <tableStyleInfo name="TableStyleLight1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2DD0A83B-28BB-4088-B646-08A13FFD678D}" name="Table11419374147505356596265687174778183" displayName="Table11419374147505356596265687174778183" ref="A9:D12" totalsRowCount="1">
  <autoFilter ref="A9:D11" xr:uid="{52EF3BE0-44FD-7348-B971-54054A4F2090}"/>
  <tableColumns count="4">
    <tableColumn id="1" xr3:uid="{586CBDC5-E875-4AE5-B327-FDE039C032B2}" name="Name"/>
    <tableColumn id="2" xr3:uid="{1BA1D9AF-412B-4E99-B254-207765D6DE64}" name="Quantity" dataDxfId="51"/>
    <tableColumn id="3" xr3:uid="{D23DE444-3E42-4729-8267-4824CDC74B00}" name="Cost Per Unit (RM)" dataDxfId="50">
      <calculatedColumnFormula>IF(A10&lt;&gt;"",VLOOKUP(Table11419374147505356596265687174778183[[#This Row],[Name]], SummaryProductTable[], 4, FALSE),"")</calculatedColumnFormula>
    </tableColumn>
    <tableColumn id="4" xr3:uid="{4675C2F3-4C15-4B3A-88C6-4E4E158446E3}" name="Total Cost (RM)" totalsRowFunction="custom" dataDxfId="48" totalsRowDxfId="49">
      <calculatedColumnFormula>IF(Table11419374147505356596265687174778183[[#This Row],[Name]]&lt;&gt;"",Table11419374147505356596265687174778183[[#This Row],[Quantity]]*Table11419374147505356596265687174778183[[#This Row],[Cost Per Unit (RM)]],"")</calculatedColumnFormula>
      <totalsRowFormula>SUM(Table11419374147505356596265687174778183[Total Cost (RM)])</totalsRowFormula>
    </tableColumn>
  </tableColumns>
  <tableStyleInfo name="TableStyleLight1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55AD78E-950F-4D74-8F5A-BA9C03F5379D}" name="Table4183612464952555861646770737680" displayName="Table4183612464952555861646770737680" ref="A15:D18" totalsRowCount="1" dataDxfId="47">
  <autoFilter ref="A15:D17" xr:uid="{306A8484-A1E7-DB41-9B44-FE1489A8EA09}"/>
  <tableColumns count="4">
    <tableColumn id="1" xr3:uid="{3E9C34AD-0ED7-42F3-9EB3-5BFD25890C11}" name="Name" dataDxfId="46"/>
    <tableColumn id="2" xr3:uid="{6AE706F4-C162-4B31-B24B-0493AB47FF20}" name="Quantity" dataDxfId="44" totalsRowDxfId="45"/>
    <tableColumn id="3" xr3:uid="{03D45A51-ED40-4BFE-AAA5-D1164D0BB1B6}" name="Cost Per Unit (RM)" dataDxfId="42" totalsRowDxfId="43">
      <calculatedColumnFormula>IF(A16&lt;&gt;"",VLOOKUP(Table4183612464952555861646770737680[[#This Row],[Name]], PackagingTable[], 6, FALSE),"")</calculatedColumnFormula>
    </tableColumn>
    <tableColumn id="4" xr3:uid="{C5DBBABC-4F6B-4115-A689-CDE897CFDC03}" name="Total Cost (RM)" totalsRowFunction="custom" dataDxfId="40" totalsRowDxfId="41">
      <calculatedColumnFormula>IF(Table4183612464952555861646770737680[[#This Row],[Name]]&lt;&gt;"",Table4183612464952555861646770737680[[#This Row],[Quantity]]*Table4183612464952555861646770737680[[#This Row],[Cost Per Unit (RM)]],"")</calculatedColumnFormula>
      <totalsRowFormula>SUM(Table4183612464952555861646770737680[Total Cost (RM)])</totalsRowFormula>
    </tableColumn>
  </tableColumns>
  <tableStyleInfo name="TableStyleLight1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26E8FF8-909B-4B0A-BB2E-A396EEAF4B87}" name="Table114193741475053565962656871747781" displayName="Table114193741475053565962656871747781" ref="A9:D12" totalsRowCount="1">
  <autoFilter ref="A9:D11" xr:uid="{52EF3BE0-44FD-7348-B971-54054A4F2090}"/>
  <tableColumns count="4">
    <tableColumn id="1" xr3:uid="{EDEFEBBD-4314-4D28-83D0-AF3E958A561E}" name="Name"/>
    <tableColumn id="2" xr3:uid="{635BC892-AB60-4D8A-9AAB-849AA41224DE}" name="Quantity" dataDxfId="39"/>
    <tableColumn id="3" xr3:uid="{717D7BDE-6A9A-46B2-894A-B543465D9F0D}" name="Cost Per Unit (RM)" dataDxfId="38">
      <calculatedColumnFormula>IF(A10&lt;&gt;"",VLOOKUP(Table114193741475053565962656871747781[[#This Row],[Name]], SummaryProductTable[], 4, FALSE),"")</calculatedColumnFormula>
    </tableColumn>
    <tableColumn id="4" xr3:uid="{CAC5C4B4-FC2C-4E38-8EB4-1E0F619B4CA1}" name="Total Cost (RM)" totalsRowFunction="custom" dataDxfId="36" totalsRowDxfId="37">
      <calculatedColumnFormula>IF(Table114193741475053565962656871747781[[#This Row],[Name]]&lt;&gt;"",Table114193741475053565962656871747781[[#This Row],[Quantity]]*Table114193741475053565962656871747781[[#This Row],[Cost Per Unit (RM)]],"")</calculatedColumnFormula>
      <totalsRowFormula>SUM(Table114193741475053565962656871747781[Total Cost (RM)])</totalsRowFormula>
    </tableColumn>
  </tableColumns>
  <tableStyleInfo name="TableStyleLight1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C51A2964-64CD-4D60-BE3B-92BC201164D8}" name="Table418361246495255586164677073768086" displayName="Table418361246495255586164677073768086" ref="A15:D18" totalsRowCount="1" dataDxfId="35">
  <autoFilter ref="A15:D17" xr:uid="{306A8484-A1E7-DB41-9B44-FE1489A8EA09}"/>
  <tableColumns count="4">
    <tableColumn id="1" xr3:uid="{1A44D273-EC75-4BD9-B599-6421E4FCE692}" name="Name" dataDxfId="34"/>
    <tableColumn id="2" xr3:uid="{676D3E97-1DD8-424F-8865-257AF6EEFD7D}" name="Quantity" dataDxfId="32" totalsRowDxfId="33"/>
    <tableColumn id="3" xr3:uid="{64BA9D87-2807-4BF8-A429-69AF2253BBFC}" name="Cost Per Unit (RM)" dataDxfId="30" totalsRowDxfId="31">
      <calculatedColumnFormula>IF(A16&lt;&gt;"",VLOOKUP(Table418361246495255586164677073768086[[#This Row],[Name]], PackagingTable[], 6, FALSE),"")</calculatedColumnFormula>
    </tableColumn>
    <tableColumn id="4" xr3:uid="{E1A7E089-ABFE-46C6-9893-89B416FA348F}" name="Total Cost (RM)" totalsRowFunction="custom" dataDxfId="28" totalsRowDxfId="29">
      <calculatedColumnFormula>IF(Table418361246495255586164677073768086[[#This Row],[Name]]&lt;&gt;"",Table418361246495255586164677073768086[[#This Row],[Quantity]]*Table418361246495255586164677073768086[[#This Row],[Cost Per Unit (RM)]],"")</calculatedColumnFormula>
      <totalsRowFormula>SUM(Table418361246495255586164677073768086[Total Cost (RM)])</totalsRowFormula>
    </tableColumn>
  </tableColumns>
  <tableStyleInfo name="TableStyleLight1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DD832D0C-270A-400F-93E4-9992AC8C9D96}" name="Table11419374147505356596265687174778187" displayName="Table11419374147505356596265687174778187" ref="A9:D12" totalsRowCount="1">
  <autoFilter ref="A9:D11" xr:uid="{52EF3BE0-44FD-7348-B971-54054A4F2090}"/>
  <tableColumns count="4">
    <tableColumn id="1" xr3:uid="{96EE30BB-A707-4D7F-A6E7-A08A0CD87D59}" name="Name"/>
    <tableColumn id="2" xr3:uid="{C6C4E325-0EB8-44C9-B111-5D0CC838441F}" name="Quantity" dataDxfId="27"/>
    <tableColumn id="3" xr3:uid="{F65F2988-3A49-4E06-A813-1F5B7F116D72}" name="Cost Per Unit (RM)" dataDxfId="26">
      <calculatedColumnFormula>IF(A10&lt;&gt;"",VLOOKUP(Table11419374147505356596265687174778187[[#This Row],[Name]], SummaryProductTable[], 4, FALSE),"")</calculatedColumnFormula>
    </tableColumn>
    <tableColumn id="4" xr3:uid="{B13ECE6A-2866-401B-A542-2F907E35431C}" name="Total Cost (RM)" totalsRowFunction="custom" dataDxfId="24" totalsRowDxfId="25">
      <calculatedColumnFormula>IF(Table11419374147505356596265687174778187[[#This Row],[Name]]&lt;&gt;"",Table11419374147505356596265687174778187[[#This Row],[Quantity]]*Table11419374147505356596265687174778187[[#This Row],[Cost Per Unit (RM)]],"")</calculatedColumnFormula>
      <totalsRowFormula>SUM(Table11419374147505356596265687174778187[Total Cost (RM)])</totalsRowFormula>
    </tableColumn>
  </tableColumns>
  <tableStyleInfo name="TableStyleLight1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B7D3DC5-91D2-4707-9875-8B26C9AED255}" name="Table41836124649525558616467707376808688" displayName="Table41836124649525558616467707376808688" ref="A15:D18" totalsRowCount="1" dataDxfId="23">
  <autoFilter ref="A15:D17" xr:uid="{306A8484-A1E7-DB41-9B44-FE1489A8EA09}"/>
  <tableColumns count="4">
    <tableColumn id="1" xr3:uid="{C42C1BF1-B8AC-413A-AA10-243A22ECAE90}" name="Name" dataDxfId="22"/>
    <tableColumn id="2" xr3:uid="{EE75769D-FC30-4D2E-AFCC-C80F5B648B87}" name="Quantity" dataDxfId="20" totalsRowDxfId="21"/>
    <tableColumn id="3" xr3:uid="{7AC05D8B-1887-4603-B89E-A8D5A9C30DB4}" name="Cost Per Unit (RM)" dataDxfId="18" totalsRowDxfId="19">
      <calculatedColumnFormula>IF(A16&lt;&gt;"",VLOOKUP(Table41836124649525558616467707376808688[[#This Row],[Name]], PackagingTable[], 6, FALSE),"")</calculatedColumnFormula>
    </tableColumn>
    <tableColumn id="4" xr3:uid="{BC20F977-ECDC-4542-8606-C17D35F7C411}" name="Total Cost (RM)" totalsRowFunction="custom" dataDxfId="16" totalsRowDxfId="17">
      <calculatedColumnFormula>IF(Table41836124649525558616467707376808688[[#This Row],[Name]]&lt;&gt;"",Table41836124649525558616467707376808688[[#This Row],[Quantity]]*Table41836124649525558616467707376808688[[#This Row],[Cost Per Unit (RM)]],"")</calculatedColumnFormula>
      <totalsRowFormula>SUM(Table41836124649525558616467707376808688[Total Cost (RM)])</totalsRowFormula>
    </tableColumn>
  </tableColumns>
  <tableStyleInfo name="TableStyleLight1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FF158529-D64C-45CB-BF2D-E31277D88AA5}" name="Table1141937414750535659626568717477818789" displayName="Table1141937414750535659626568717477818789" ref="A9:D12" totalsRowCount="1">
  <autoFilter ref="A9:D11" xr:uid="{52EF3BE0-44FD-7348-B971-54054A4F2090}"/>
  <tableColumns count="4">
    <tableColumn id="1" xr3:uid="{C07F2F97-7AF3-44F9-83A4-D54A92269019}" name="Name"/>
    <tableColumn id="2" xr3:uid="{52CFD850-310F-4845-A1E6-2A02537844FD}" name="Quantity" dataDxfId="15"/>
    <tableColumn id="3" xr3:uid="{4CB22D8A-2D2B-4772-B08C-4083C36CF93B}" name="Cost Per Unit (RM)" dataDxfId="14">
      <calculatedColumnFormula>IF(A10&lt;&gt;"",VLOOKUP(Table1141937414750535659626568717477818789[[#This Row],[Name]], SummaryProductTable[], 4, FALSE),"")</calculatedColumnFormula>
    </tableColumn>
    <tableColumn id="4" xr3:uid="{80E4BBAA-A529-4DE5-B6EF-16EDC36D908C}" name="Total Cost (RM)" totalsRowFunction="custom" dataDxfId="12" totalsRowDxfId="13">
      <calculatedColumnFormula>IF(Table1141937414750535659626568717477818789[[#This Row],[Name]]&lt;&gt;"",Table1141937414750535659626568717477818789[[#This Row],[Quantity]]*Table1141937414750535659626568717477818789[[#This Row],[Cost Per Unit (RM)]],"")</calculatedColumnFormula>
      <totalsRowFormula>SUM(Table1141937414750535659626568717477818789[Total Cost (RM)])</totalsRowFormula>
    </tableColumn>
  </tableColumns>
  <tableStyleInfo name="TableStyleLight1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7BC94938-9373-453B-886C-3349C076C8F8}" name="Table41836124649525558616467707376808688101" displayName="Table41836124649525558616467707376808688101" ref="A15:D18" totalsRowCount="1" dataDxfId="11">
  <autoFilter ref="A15:D17" xr:uid="{306A8484-A1E7-DB41-9B44-FE1489A8EA09}"/>
  <tableColumns count="4">
    <tableColumn id="1" xr3:uid="{E57424B2-1F42-4FD4-A380-6705CC037ABE}" name="Name" dataDxfId="10"/>
    <tableColumn id="2" xr3:uid="{8EA8CD82-88BB-46B8-A289-5431286511B4}" name="Quantity" dataDxfId="8" totalsRowDxfId="9"/>
    <tableColumn id="3" xr3:uid="{B06294D0-C1E2-4010-8401-ECE1E6F14EE5}" name="Cost Per Unit (RM)" dataDxfId="6" totalsRowDxfId="7">
      <calculatedColumnFormula>IF(A16&lt;&gt;"",VLOOKUP(Table41836124649525558616467707376808688101[[#This Row],[Name]], PackagingTable[], 6, FALSE),"")</calculatedColumnFormula>
    </tableColumn>
    <tableColumn id="4" xr3:uid="{61F95E4C-23D9-4A84-A2AD-D5A44458103E}" name="Total Cost (RM)" totalsRowFunction="custom" dataDxfId="4" totalsRowDxfId="5">
      <calculatedColumnFormula>IF(Table41836124649525558616467707376808688101[[#This Row],[Name]]&lt;&gt;"",Table41836124649525558616467707376808688101[[#This Row],[Quantity]]*Table41836124649525558616467707376808688101[[#This Row],[Cost Per Unit (RM)]],"")</calculatedColumnFormula>
      <totalsRowFormula>SUM(Table41836124649525558616467707376808688101[Total Cost (RM)])</totalsRowFormula>
    </tableColumn>
  </tableColumns>
  <tableStyleInfo name="TableStyleLight1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E702305-3D98-4F7E-873D-2AB205EBB1AC}" name="Table1141937414750535659626568717477818789102" displayName="Table1141937414750535659626568717477818789102" ref="A9:D12" totalsRowCount="1">
  <autoFilter ref="A9:D11" xr:uid="{52EF3BE0-44FD-7348-B971-54054A4F2090}"/>
  <tableColumns count="4">
    <tableColumn id="1" xr3:uid="{35858CE6-BE93-4484-B89E-A7C26EED5311}" name="Name"/>
    <tableColumn id="2" xr3:uid="{8BAA955F-20C6-4FAB-BA58-747E28C3CA9B}" name="Quantity" dataDxfId="3"/>
    <tableColumn id="3" xr3:uid="{F8BAD760-145F-4B98-A09A-58CB1C620D5A}" name="Cost Per Unit (RM)" dataDxfId="2">
      <calculatedColumnFormula>IF(A10&lt;&gt;"",VLOOKUP(Table1141937414750535659626568717477818789102[[#This Row],[Name]], SummaryProductTable[], 4, FALSE),"")</calculatedColumnFormula>
    </tableColumn>
    <tableColumn id="4" xr3:uid="{B47E4560-8ACF-479A-9B0B-3F0D223293A5}" name="Total Cost (RM)" totalsRowFunction="custom" dataDxfId="0" totalsRowDxfId="1">
      <calculatedColumnFormula>IF(Table1141937414750535659626568717477818789102[[#This Row],[Name]]&lt;&gt;"",Table1141937414750535659626568717477818789102[[#This Row],[Quantity]]*Table1141937414750535659626568717477818789102[[#This Row],[Cost Per Unit (RM)]],"")</calculatedColumnFormula>
      <totalsRowFormula>SUM(Table1141937414750535659626568717477818789102[Total Cost (RM)])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table" Target="../tables/table4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table" Target="../tables/table56.xml"/><Relationship Id="rId1" Type="http://schemas.openxmlformats.org/officeDocument/2006/relationships/table" Target="../tables/table5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0.xml"/><Relationship Id="rId2" Type="http://schemas.openxmlformats.org/officeDocument/2006/relationships/table" Target="../tables/table59.xml"/><Relationship Id="rId1" Type="http://schemas.openxmlformats.org/officeDocument/2006/relationships/table" Target="../tables/table58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table" Target="../tables/table6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6.xml"/><Relationship Id="rId2" Type="http://schemas.openxmlformats.org/officeDocument/2006/relationships/table" Target="../tables/table65.xml"/><Relationship Id="rId1" Type="http://schemas.openxmlformats.org/officeDocument/2006/relationships/table" Target="../tables/table6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2" Type="http://schemas.openxmlformats.org/officeDocument/2006/relationships/table" Target="../tables/table68.xml"/><Relationship Id="rId1" Type="http://schemas.openxmlformats.org/officeDocument/2006/relationships/table" Target="../tables/table6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2.xml"/><Relationship Id="rId2" Type="http://schemas.openxmlformats.org/officeDocument/2006/relationships/table" Target="../tables/table71.xml"/><Relationship Id="rId1" Type="http://schemas.openxmlformats.org/officeDocument/2006/relationships/table" Target="../tables/table7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2" Type="http://schemas.openxmlformats.org/officeDocument/2006/relationships/table" Target="../tables/table74.xml"/><Relationship Id="rId1" Type="http://schemas.openxmlformats.org/officeDocument/2006/relationships/table" Target="../tables/table7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table" Target="../tables/table7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" Target="../tables/table80.xml"/><Relationship Id="rId1" Type="http://schemas.openxmlformats.org/officeDocument/2006/relationships/table" Target="../tables/table79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" Target="../tables/table83.xml"/><Relationship Id="rId1" Type="http://schemas.openxmlformats.org/officeDocument/2006/relationships/table" Target="../tables/table82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2" Type="http://schemas.openxmlformats.org/officeDocument/2006/relationships/table" Target="../tables/table86.xml"/><Relationship Id="rId1" Type="http://schemas.openxmlformats.org/officeDocument/2006/relationships/table" Target="../tables/table85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0.xml"/><Relationship Id="rId2" Type="http://schemas.openxmlformats.org/officeDocument/2006/relationships/table" Target="../tables/table89.xml"/><Relationship Id="rId1" Type="http://schemas.openxmlformats.org/officeDocument/2006/relationships/table" Target="../tables/table88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2" Type="http://schemas.openxmlformats.org/officeDocument/2006/relationships/table" Target="../tables/table92.xml"/><Relationship Id="rId1" Type="http://schemas.openxmlformats.org/officeDocument/2006/relationships/table" Target="../tables/table9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6.xml"/><Relationship Id="rId2" Type="http://schemas.openxmlformats.org/officeDocument/2006/relationships/table" Target="../tables/table95.xml"/><Relationship Id="rId1" Type="http://schemas.openxmlformats.org/officeDocument/2006/relationships/table" Target="../tables/table94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2" Type="http://schemas.openxmlformats.org/officeDocument/2006/relationships/table" Target="../tables/table98.xml"/><Relationship Id="rId1" Type="http://schemas.openxmlformats.org/officeDocument/2006/relationships/table" Target="../tables/table97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2.xml"/><Relationship Id="rId2" Type="http://schemas.openxmlformats.org/officeDocument/2006/relationships/table" Target="../tables/table101.xml"/><Relationship Id="rId1" Type="http://schemas.openxmlformats.org/officeDocument/2006/relationships/table" Target="../tables/table100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2" Type="http://schemas.openxmlformats.org/officeDocument/2006/relationships/table" Target="../tables/table104.xml"/><Relationship Id="rId1" Type="http://schemas.openxmlformats.org/officeDocument/2006/relationships/table" Target="../tables/table103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8.xml"/><Relationship Id="rId2" Type="http://schemas.openxmlformats.org/officeDocument/2006/relationships/table" Target="../tables/table107.xml"/><Relationship Id="rId1" Type="http://schemas.openxmlformats.org/officeDocument/2006/relationships/table" Target="../tables/table106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2" Type="http://schemas.openxmlformats.org/officeDocument/2006/relationships/table" Target="../tables/table110.xml"/><Relationship Id="rId1" Type="http://schemas.openxmlformats.org/officeDocument/2006/relationships/table" Target="../tables/table109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4.xml"/><Relationship Id="rId2" Type="http://schemas.openxmlformats.org/officeDocument/2006/relationships/table" Target="../tables/table113.xml"/><Relationship Id="rId1" Type="http://schemas.openxmlformats.org/officeDocument/2006/relationships/table" Target="../tables/table112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2" Type="http://schemas.openxmlformats.org/officeDocument/2006/relationships/table" Target="../tables/table116.xml"/><Relationship Id="rId1" Type="http://schemas.openxmlformats.org/officeDocument/2006/relationships/table" Target="../tables/table115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0.xml"/><Relationship Id="rId2" Type="http://schemas.openxmlformats.org/officeDocument/2006/relationships/table" Target="../tables/table119.xml"/><Relationship Id="rId1" Type="http://schemas.openxmlformats.org/officeDocument/2006/relationships/table" Target="../tables/table118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2" Type="http://schemas.openxmlformats.org/officeDocument/2006/relationships/table" Target="../tables/table122.xml"/><Relationship Id="rId1" Type="http://schemas.openxmlformats.org/officeDocument/2006/relationships/table" Target="../tables/table121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6.xml"/><Relationship Id="rId2" Type="http://schemas.openxmlformats.org/officeDocument/2006/relationships/table" Target="../tables/table125.xml"/><Relationship Id="rId1" Type="http://schemas.openxmlformats.org/officeDocument/2006/relationships/table" Target="../tables/table124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2" Type="http://schemas.openxmlformats.org/officeDocument/2006/relationships/table" Target="../tables/table128.xml"/><Relationship Id="rId1" Type="http://schemas.openxmlformats.org/officeDocument/2006/relationships/table" Target="../tables/table127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2.xml"/><Relationship Id="rId2" Type="http://schemas.openxmlformats.org/officeDocument/2006/relationships/table" Target="../tables/table131.xml"/><Relationship Id="rId1" Type="http://schemas.openxmlformats.org/officeDocument/2006/relationships/table" Target="../tables/table130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2" Type="http://schemas.openxmlformats.org/officeDocument/2006/relationships/table" Target="../tables/table134.xml"/><Relationship Id="rId1" Type="http://schemas.openxmlformats.org/officeDocument/2006/relationships/table" Target="../tables/table13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8.xml"/><Relationship Id="rId1" Type="http://schemas.openxmlformats.org/officeDocument/2006/relationships/table" Target="../tables/table137.x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0.xml"/><Relationship Id="rId1" Type="http://schemas.openxmlformats.org/officeDocument/2006/relationships/table" Target="../tables/table139.x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2.xml"/><Relationship Id="rId1" Type="http://schemas.openxmlformats.org/officeDocument/2006/relationships/table" Target="../tables/table141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4.xml"/><Relationship Id="rId1" Type="http://schemas.openxmlformats.org/officeDocument/2006/relationships/table" Target="../tables/table143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6.xml"/><Relationship Id="rId1" Type="http://schemas.openxmlformats.org/officeDocument/2006/relationships/table" Target="../tables/table1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2429-856A-1740-85F4-561B0098DAC7}">
  <sheetPr>
    <tabColor theme="0"/>
    <pageSetUpPr fitToPage="1"/>
  </sheetPr>
  <dimension ref="A1:J72"/>
  <sheetViews>
    <sheetView topLeftCell="A34" zoomScale="92" workbookViewId="0">
      <selection activeCell="F57" sqref="F57"/>
    </sheetView>
  </sheetViews>
  <sheetFormatPr defaultColWidth="10.875" defaultRowHeight="14.25" customHeight="1"/>
  <cols>
    <col min="1" max="1" width="34.375" style="21" customWidth="1"/>
    <col min="2" max="2" width="18.75" style="21" customWidth="1"/>
    <col min="3" max="3" width="20.375" style="21" bestFit="1" customWidth="1"/>
    <col min="4" max="4" width="20.5" style="21" customWidth="1"/>
    <col min="5" max="5" width="20.375" style="21" customWidth="1"/>
    <col min="6" max="6" width="17.875" style="21" customWidth="1"/>
    <col min="7" max="7" width="21.125" style="21" bestFit="1" customWidth="1"/>
    <col min="8" max="8" width="21.125" style="21" customWidth="1"/>
    <col min="9" max="10" width="18.5" style="21" bestFit="1" customWidth="1"/>
    <col min="11" max="16384" width="10.875" style="21"/>
  </cols>
  <sheetData>
    <row r="1" spans="1:6" ht="15">
      <c r="A1" s="24" t="s">
        <v>0</v>
      </c>
      <c r="B1" s="24"/>
    </row>
    <row r="2" spans="1:6" ht="15">
      <c r="A2" s="46" t="s">
        <v>1</v>
      </c>
      <c r="B2" s="24"/>
    </row>
    <row r="3" spans="1:6">
      <c r="A3" s="46" t="s">
        <v>2</v>
      </c>
    </row>
    <row r="4" spans="1:6">
      <c r="A4" s="46" t="s">
        <v>3</v>
      </c>
    </row>
    <row r="5" spans="1:6">
      <c r="A5" s="46" t="s">
        <v>4</v>
      </c>
    </row>
    <row r="6" spans="1:6">
      <c r="A6" s="46" t="s">
        <v>5</v>
      </c>
    </row>
    <row r="7" spans="1:6">
      <c r="A7" s="46"/>
    </row>
    <row r="8" spans="1:6" ht="15">
      <c r="A8" s="25" t="s">
        <v>6</v>
      </c>
    </row>
    <row r="9" spans="1:6" ht="15">
      <c r="A9" s="34" t="s">
        <v>7</v>
      </c>
      <c r="B9" s="34" t="s">
        <v>8</v>
      </c>
      <c r="C9" s="26" t="s">
        <v>9</v>
      </c>
      <c r="D9" s="27" t="s">
        <v>10</v>
      </c>
      <c r="E9" s="28" t="s">
        <v>11</v>
      </c>
      <c r="F9" s="28" t="s">
        <v>12</v>
      </c>
    </row>
    <row r="10" spans="1:6">
      <c r="A10" s="21" t="s">
        <v>13</v>
      </c>
      <c r="B10" s="21" t="s">
        <v>14</v>
      </c>
      <c r="C10" s="22" cm="1">
        <f t="array" aca="1" ref="C10" ca="1">IF(SummaryProductTable[[#This Row],[Name]]&lt;&gt;"",INDIRECT("'" &amp; SummaryProductTable[[#This Row],[Name]] &amp; "'!A6"),"")</f>
        <v>7.9</v>
      </c>
      <c r="D10" s="22" cm="1">
        <f t="array" aca="1" ref="D10" ca="1">IF(SummaryProductTable[[#This Row],[Name]]&lt;&gt;"",INDIRECT("'" &amp; SummaryProductTable[[#This Row],[Name]] &amp; "'!B6"),"")</f>
        <v>1.8627452631578945</v>
      </c>
      <c r="E10" s="22">
        <f ca="1">IF(SummaryProductTable[[#This Row],[Name]]&lt;&gt;"",SummaryProductTable[[#This Row],[Selling Price (RM)]]-SummaryProductTable[[#This Row],[Total Cost (RM)]],"")</f>
        <v>6.0372547368421063</v>
      </c>
      <c r="F10" s="22">
        <f ca="1">IF(SummaryProductTable[[#This Row],[Name]]&lt;&gt;"",(SummaryProductTable[[#This Row],[Gross Profit (RM)]]/SummaryProductTable[[#This Row],[Selling Price (RM)]])*100,"")</f>
        <v>76.420946035976016</v>
      </c>
    </row>
    <row r="11" spans="1:6">
      <c r="A11" s="21" t="s">
        <v>15</v>
      </c>
      <c r="B11" s="21" t="s">
        <v>14</v>
      </c>
      <c r="C11" s="22" cm="1">
        <f t="array" aca="1" ref="C11" ca="1">IF(SummaryProductTable[[#This Row],[Name]]&lt;&gt;"",INDIRECT("'" &amp; SummaryProductTable[[#This Row],[Name]] &amp; "'!A6"),"")</f>
        <v>10.9</v>
      </c>
      <c r="D11" s="22" cm="1">
        <f t="array" aca="1" ref="D11" ca="1">IF(SummaryProductTable[[#This Row],[Name]]&lt;&gt;"",INDIRECT("'" &amp; SummaryProductTable[[#This Row],[Name]] &amp; "'!B6"),"")</f>
        <v>2.3577452631578946</v>
      </c>
      <c r="E11" s="22">
        <f ca="1">IF(SummaryProductTable[[#This Row],[Name]]&lt;&gt;"",SummaryProductTable[[#This Row],[Selling Price (RM)]]-SummaryProductTable[[#This Row],[Total Cost (RM)]],"")</f>
        <v>8.5422547368421053</v>
      </c>
      <c r="F11" s="22">
        <f ca="1">IF(SummaryProductTable[[#This Row],[Name]]&lt;&gt;"",(SummaryProductTable[[#This Row],[Gross Profit (RM)]]/SummaryProductTable[[#This Row],[Selling Price (RM)]])*100,"")</f>
        <v>78.369309512312896</v>
      </c>
    </row>
    <row r="12" spans="1:6">
      <c r="A12" s="21" t="s">
        <v>16</v>
      </c>
      <c r="B12" s="21" t="s">
        <v>14</v>
      </c>
      <c r="C12" s="22" cm="1">
        <f t="array" aca="1" ref="C12" ca="1">IF(SummaryProductTable[[#This Row],[Name]]&lt;&gt;"",INDIRECT("'" &amp; SummaryProductTable[[#This Row],[Name]] &amp; "'!A6"),"")</f>
        <v>10.9</v>
      </c>
      <c r="D12" s="22" cm="1">
        <f t="array" aca="1" ref="D12" ca="1">IF(SummaryProductTable[[#This Row],[Name]]&lt;&gt;"",INDIRECT("'" &amp; SummaryProductTable[[#This Row],[Name]] &amp; "'!B6"),"")</f>
        <v>2.3143452631578945</v>
      </c>
      <c r="E12" s="22">
        <f ca="1">IF(SummaryProductTable[[#This Row],[Name]]&lt;&gt;"",SummaryProductTable[[#This Row],[Selling Price (RM)]]-SummaryProductTable[[#This Row],[Total Cost (RM)]],"")</f>
        <v>8.5856547368421055</v>
      </c>
      <c r="F12" s="22">
        <f ca="1">IF(SummaryProductTable[[#This Row],[Name]]&lt;&gt;"",(SummaryProductTable[[#This Row],[Gross Profit (RM)]]/SummaryProductTable[[#This Row],[Selling Price (RM)]])*100,"")</f>
        <v>78.767474649927578</v>
      </c>
    </row>
    <row r="13" spans="1:6">
      <c r="A13" s="23" t="s">
        <v>17</v>
      </c>
      <c r="B13" s="23" t="s">
        <v>14</v>
      </c>
      <c r="C13" s="22" cm="1">
        <f t="array" aca="1" ref="C13" ca="1">IF(SummaryProductTable[[#This Row],[Name]]&lt;&gt;"",INDIRECT("'" &amp; SummaryProductTable[[#This Row],[Name]] &amp; "'!A6"),"")</f>
        <v>9.5</v>
      </c>
      <c r="D13" s="22" cm="1">
        <f t="array" aca="1" ref="D13" ca="1">IF(SummaryProductTable[[#This Row],[Name]]&lt;&gt;"",INDIRECT("'" &amp; SummaryProductTable[[#This Row],[Name]] &amp; "'!B6"),"")</f>
        <v>2.3143452631578945</v>
      </c>
      <c r="E13" s="22">
        <f ca="1">IF(SummaryProductTable[[#This Row],[Name]]&lt;&gt;"",SummaryProductTable[[#This Row],[Selling Price (RM)]]-SummaryProductTable[[#This Row],[Total Cost (RM)]],"")</f>
        <v>7.1856547368421051</v>
      </c>
      <c r="F13" s="22">
        <f ca="1">IF(SummaryProductTable[[#This Row],[Name]]&lt;&gt;"",(SummaryProductTable[[#This Row],[Gross Profit (RM)]]/SummaryProductTable[[#This Row],[Selling Price (RM)]])*100,"")</f>
        <v>75.638470914127424</v>
      </c>
    </row>
    <row r="14" spans="1:6">
      <c r="A14" s="23" t="s">
        <v>18</v>
      </c>
      <c r="B14" s="23" t="s">
        <v>14</v>
      </c>
      <c r="C14" s="22" cm="1">
        <f t="array" aca="1" ref="C14" ca="1">IF(SummaryProductTable[[#This Row],[Name]]&lt;&gt;"",INDIRECT("'" &amp; SummaryProductTable[[#This Row],[Name]] &amp; "'!A6"),"")</f>
        <v>11.9</v>
      </c>
      <c r="D14" s="22" cm="1">
        <f t="array" aca="1" ref="D14" ca="1">IF(SummaryProductTable[[#This Row],[Name]]&lt;&gt;"",INDIRECT("'" &amp; SummaryProductTable[[#This Row],[Name]] &amp; "'!B6"),"")</f>
        <v>2.3143452631578945</v>
      </c>
      <c r="E14" s="22">
        <f ca="1">IF(SummaryProductTable[[#This Row],[Name]]&lt;&gt;"",SummaryProductTable[[#This Row],[Selling Price (RM)]]-SummaryProductTable[[#This Row],[Total Cost (RM)]],"")</f>
        <v>9.5856547368421055</v>
      </c>
      <c r="F14" s="22">
        <f ca="1">IF(SummaryProductTable[[#This Row],[Name]]&lt;&gt;"",(SummaryProductTable[[#This Row],[Gross Profit (RM)]]/SummaryProductTable[[#This Row],[Selling Price (RM)]])*100,"")</f>
        <v>80.551720477664745</v>
      </c>
    </row>
    <row r="15" spans="1:6">
      <c r="A15" s="23" t="s">
        <v>19</v>
      </c>
      <c r="B15" s="23" t="s">
        <v>14</v>
      </c>
      <c r="C15" s="22" cm="1">
        <f t="array" aca="1" ref="C15" ca="1">IF(SummaryProductTable[[#This Row],[Name]]&lt;&gt;"",INDIRECT("'" &amp; SummaryProductTable[[#This Row],[Name]] &amp; "'!A6"),"")</f>
        <v>11.9</v>
      </c>
      <c r="D15" s="22" cm="1">
        <f t="array" aca="1" ref="D15" ca="1">IF(SummaryProductTable[[#This Row],[Name]]&lt;&gt;"",INDIRECT("'" &amp; SummaryProductTable[[#This Row],[Name]] &amp; "'!B6"),"")</f>
        <v>1.8193452631578948</v>
      </c>
      <c r="E15" s="22">
        <f ca="1">IF(SummaryProductTable[[#This Row],[Name]]&lt;&gt;"",SummaryProductTable[[#This Row],[Selling Price (RM)]]-SummaryProductTable[[#This Row],[Total Cost (RM)]],"")</f>
        <v>10.080654736842106</v>
      </c>
      <c r="F15" s="22">
        <f ca="1">IF(SummaryProductTable[[#This Row],[Name]]&lt;&gt;"",(SummaryProductTable[[#This Row],[Gross Profit (RM)]]/SummaryProductTable[[#This Row],[Selling Price (RM)]])*100,"")</f>
        <v>84.711384343210966</v>
      </c>
    </row>
    <row r="16" spans="1:6">
      <c r="A16" s="21" t="s">
        <v>20</v>
      </c>
      <c r="B16" s="21" t="s">
        <v>14</v>
      </c>
      <c r="C16" s="22" cm="1">
        <f t="array" aca="1" ref="C16" ca="1">IF(SummaryProductTable[[#This Row],[Name]]&lt;&gt;"",INDIRECT("'" &amp; SummaryProductTable[[#This Row],[Name]] &amp; "'!A6"),"")</f>
        <v>11.9</v>
      </c>
      <c r="D16" s="22" cm="1">
        <f t="array" aca="1" ref="D16" ca="1">IF(SummaryProductTable[[#This Row],[Name]]&lt;&gt;"",INDIRECT("'" &amp; SummaryProductTable[[#This Row],[Name]] &amp; "'!B6"),"")</f>
        <v>2.3143452631578945</v>
      </c>
      <c r="E16" s="22">
        <f ca="1">IF(SummaryProductTable[[#This Row],[Name]]&lt;&gt;"",SummaryProductTable[[#This Row],[Selling Price (RM)]]-SummaryProductTable[[#This Row],[Total Cost (RM)]],"")</f>
        <v>9.5856547368421055</v>
      </c>
      <c r="F16" s="22">
        <f ca="1">IF(SummaryProductTable[[#This Row],[Name]]&lt;&gt;"",(SummaryProductTable[[#This Row],[Gross Profit (RM)]]/SummaryProductTable[[#This Row],[Selling Price (RM)]])*100,"")</f>
        <v>80.551720477664745</v>
      </c>
    </row>
    <row r="17" spans="1:6">
      <c r="A17" s="21" t="s">
        <v>21</v>
      </c>
      <c r="B17" s="21" t="s">
        <v>22</v>
      </c>
      <c r="C17" s="22" cm="1">
        <f t="array" aca="1" ref="C17" ca="1">IF(SummaryProductTable[[#This Row],[Name]]&lt;&gt;"",INDIRECT("'" &amp; SummaryProductTable[[#This Row],[Name]] &amp; "'!A6"),"")</f>
        <v>9.9</v>
      </c>
      <c r="D17" s="22" cm="1">
        <f t="array" aca="1" ref="D17" ca="1">IF(SummaryProductTable[[#This Row],[Name]]&lt;&gt;"",INDIRECT("'" &amp; SummaryProductTable[[#This Row],[Name]] &amp; "'!B6"),"")</f>
        <v>2.2402827631578948</v>
      </c>
      <c r="E17" s="22">
        <f ca="1">IF(SummaryProductTable[[#This Row],[Name]]&lt;&gt;"",SummaryProductTable[[#This Row],[Selling Price (RM)]]-SummaryProductTable[[#This Row],[Total Cost (RM)]],"")</f>
        <v>7.6597172368421056</v>
      </c>
      <c r="F17" s="22">
        <f ca="1">IF(SummaryProductTable[[#This Row],[Name]]&lt;&gt;"",(SummaryProductTable[[#This Row],[Gross Profit (RM)]]/SummaryProductTable[[#This Row],[Selling Price (RM)]])*100,"")</f>
        <v>77.370881180223279</v>
      </c>
    </row>
    <row r="18" spans="1:6">
      <c r="A18" s="21" t="s">
        <v>23</v>
      </c>
      <c r="B18" s="21" t="s">
        <v>14</v>
      </c>
      <c r="C18" s="22" cm="1">
        <f t="array" aca="1" ref="C18" ca="1">IF(SummaryProductTable[[#This Row],[Name]]&lt;&gt;"",INDIRECT("'" &amp; SummaryProductTable[[#This Row],[Name]] &amp; "'!A6"),"")</f>
        <v>10.9</v>
      </c>
      <c r="D18" s="22" cm="1">
        <f t="array" aca="1" ref="D18" ca="1">IF(SummaryProductTable[[#This Row],[Name]]&lt;&gt;"",INDIRECT("'" &amp; SummaryProductTable[[#This Row],[Name]] &amp; "'!B6"),"")</f>
        <v>2.2042924376050692</v>
      </c>
      <c r="E18" s="22">
        <f ca="1">IF(SummaryProductTable[[#This Row],[Name]]&lt;&gt;"",SummaryProductTable[[#This Row],[Selling Price (RM)]]-SummaryProductTable[[#This Row],[Total Cost (RM)]],"")</f>
        <v>8.6957075623949311</v>
      </c>
      <c r="F18" s="22">
        <f ca="1">IF(SummaryProductTable[[#This Row],[Name]]&lt;&gt;"",(SummaryProductTable[[#This Row],[Gross Profit (RM)]]/SummaryProductTable[[#This Row],[Selling Price (RM)]])*100,"")</f>
        <v>79.777133599953501</v>
      </c>
    </row>
    <row r="19" spans="1:6">
      <c r="A19" s="21" t="s">
        <v>24</v>
      </c>
      <c r="B19" s="21" t="s">
        <v>14</v>
      </c>
      <c r="C19" s="22" cm="1">
        <f t="array" aca="1" ref="C19" ca="1">IF(SummaryProductTable[[#This Row],[Name]]&lt;&gt;"",INDIRECT("'" &amp; SummaryProductTable[[#This Row],[Name]] &amp; "'!A6"),"")</f>
        <v>12.5</v>
      </c>
      <c r="D19" s="22" cm="1">
        <f t="array" aca="1" ref="D19" ca="1">IF(SummaryProductTable[[#This Row],[Name]]&lt;&gt;"",INDIRECT("'" &amp; SummaryProductTable[[#This Row],[Name]] &amp; "'!B6"),"")</f>
        <v>2.448481626794258</v>
      </c>
      <c r="E19" s="22">
        <f ca="1">IF(SummaryProductTable[[#This Row],[Name]]&lt;&gt;"",SummaryProductTable[[#This Row],[Selling Price (RM)]]-SummaryProductTable[[#This Row],[Total Cost (RM)]],"")</f>
        <v>10.051518373205742</v>
      </c>
      <c r="F19" s="22">
        <f ca="1">IF(SummaryProductTable[[#This Row],[Name]]&lt;&gt;"",(SummaryProductTable[[#This Row],[Gross Profit (RM)]]/SummaryProductTable[[#This Row],[Selling Price (RM)]])*100,"")</f>
        <v>80.412146985645933</v>
      </c>
    </row>
    <row r="20" spans="1:6">
      <c r="A20" s="21" t="s">
        <v>25</v>
      </c>
      <c r="B20" s="21" t="s">
        <v>14</v>
      </c>
      <c r="C20" s="22" cm="1">
        <f t="array" aca="1" ref="C20" ca="1">IF(SummaryProductTable[[#This Row],[Name]]&lt;&gt;"",INDIRECT("'" &amp; SummaryProductTable[[#This Row],[Name]] &amp; "'!A6"),"")</f>
        <v>11.9</v>
      </c>
      <c r="D20" s="22" cm="1">
        <f t="array" aca="1" ref="D20" ca="1">IF(SummaryProductTable[[#This Row],[Name]]&lt;&gt;"",INDIRECT("'" &amp; SummaryProductTable[[#This Row],[Name]] &amp; "'!B6"),"")</f>
        <v>2.2042924376050692</v>
      </c>
      <c r="E20" s="22">
        <f ca="1">IF(SummaryProductTable[[#This Row],[Name]]&lt;&gt;"",SummaryProductTable[[#This Row],[Selling Price (RM)]]-SummaryProductTable[[#This Row],[Total Cost (RM)]],"")</f>
        <v>9.6957075623949311</v>
      </c>
      <c r="F20" s="22">
        <f ca="1">IF(SummaryProductTable[[#This Row],[Name]]&lt;&gt;"",(SummaryProductTable[[#This Row],[Gross Profit (RM)]]/SummaryProductTable[[#This Row],[Selling Price (RM)]])*100,"")</f>
        <v>81.476534137772532</v>
      </c>
    </row>
    <row r="21" spans="1:6">
      <c r="A21" s="21" t="s">
        <v>26</v>
      </c>
      <c r="B21" s="21" t="s">
        <v>14</v>
      </c>
      <c r="C21" s="22" cm="1">
        <f t="array" aca="1" ref="C21" ca="1">IF(SummaryProductTable[[#This Row],[Name]]&lt;&gt;"",INDIRECT("'" &amp; SummaryProductTable[[#This Row],[Name]] &amp; "'!A6"),"")</f>
        <v>11.5</v>
      </c>
      <c r="D21" s="22" cm="1">
        <f t="array" aca="1" ref="D21" ca="1">IF(SummaryProductTable[[#This Row],[Name]]&lt;&gt;"",INDIRECT("'" &amp; SummaryProductTable[[#This Row],[Name]] &amp; "'!B6"),"")</f>
        <v>2.2768452631578944</v>
      </c>
      <c r="E21" s="22">
        <f ca="1">IF(SummaryProductTable[[#This Row],[Name]]&lt;&gt;"",SummaryProductTable[[#This Row],[Selling Price (RM)]]-SummaryProductTable[[#This Row],[Total Cost (RM)]],"")</f>
        <v>9.2231547368421047</v>
      </c>
      <c r="F21" s="22">
        <f ca="1">IF(SummaryProductTable[[#This Row],[Name]]&lt;&gt;"",(SummaryProductTable[[#This Row],[Gross Profit (RM)]]/SummaryProductTable[[#This Row],[Selling Price (RM)]])*100,"")</f>
        <v>80.201345537757433</v>
      </c>
    </row>
    <row r="22" spans="1:6">
      <c r="A22" s="21" t="s">
        <v>27</v>
      </c>
      <c r="B22" s="21" t="s">
        <v>14</v>
      </c>
      <c r="C22" s="22" cm="1">
        <f t="array" aca="1" ref="C22" ca="1">IF(SummaryProductTable[[#This Row],[Name]]&lt;&gt;"",INDIRECT("'" &amp; SummaryProductTable[[#This Row],[Name]] &amp; "'!A6"),"")</f>
        <v>11.9</v>
      </c>
      <c r="D22" s="22" cm="1">
        <f t="array" aca="1" ref="D22" ca="1">IF(SummaryProductTable[[#This Row],[Name]]&lt;&gt;"",INDIRECT("'" &amp; SummaryProductTable[[#This Row],[Name]] &amp; "'!B6"),"")</f>
        <v>2.2042924376050692</v>
      </c>
      <c r="E22" s="22">
        <f ca="1">IF(SummaryProductTable[[#This Row],[Name]]&lt;&gt;"",SummaryProductTable[[#This Row],[Selling Price (RM)]]-SummaryProductTable[[#This Row],[Total Cost (RM)]],"")</f>
        <v>9.6957075623949311</v>
      </c>
      <c r="F22" s="22">
        <f ca="1">IF(SummaryProductTable[[#This Row],[Name]]&lt;&gt;"",(SummaryProductTable[[#This Row],[Gross Profit (RM)]]/SummaryProductTable[[#This Row],[Selling Price (RM)]])*100,"")</f>
        <v>81.476534137772532</v>
      </c>
    </row>
    <row r="23" spans="1:6">
      <c r="A23" s="21" t="s">
        <v>28</v>
      </c>
      <c r="B23" s="21" t="s">
        <v>14</v>
      </c>
      <c r="C23" s="22" cm="1">
        <f t="array" aca="1" ref="C23" ca="1">IF(SummaryProductTable[[#This Row],[Name]]&lt;&gt;"",INDIRECT("'" &amp; SummaryProductTable[[#This Row],[Name]] &amp; "'!A6"),"")</f>
        <v>9.9</v>
      </c>
      <c r="D23" s="22" cm="1">
        <f t="array" aca="1" ref="D23" ca="1">IF(SummaryProductTable[[#This Row],[Name]]&lt;&gt;"",INDIRECT("'" &amp; SummaryProductTable[[#This Row],[Name]] &amp; "'!B6"),"")</f>
        <v>1.9909816267942584</v>
      </c>
      <c r="E23" s="22">
        <f ca="1">IF(SummaryProductTable[[#This Row],[Name]]&lt;&gt;"",SummaryProductTable[[#This Row],[Selling Price (RM)]]-SummaryProductTable[[#This Row],[Total Cost (RM)]],"")</f>
        <v>7.9090183732057415</v>
      </c>
      <c r="F23" s="22">
        <f ca="1">IF(SummaryProductTable[[#This Row],[Name]]&lt;&gt;"",(SummaryProductTable[[#This Row],[Gross Profit (RM)]]/SummaryProductTable[[#This Row],[Selling Price (RM)]])*100,"")</f>
        <v>79.88907447682567</v>
      </c>
    </row>
    <row r="24" spans="1:6">
      <c r="A24" s="21" t="s">
        <v>29</v>
      </c>
      <c r="B24" s="21" t="s">
        <v>14</v>
      </c>
      <c r="C24" s="22" cm="1">
        <f t="array" aca="1" ref="C24" ca="1">IF(SummaryProductTable[[#This Row],[Name]]&lt;&gt;"",INDIRECT("'" &amp; SummaryProductTable[[#This Row],[Name]] &amp; "'!A6"),"")</f>
        <v>10.9</v>
      </c>
      <c r="D24" s="22" cm="1">
        <f t="array" aca="1" ref="D24" ca="1">IF(SummaryProductTable[[#This Row],[Name]]&lt;&gt;"",INDIRECT("'" &amp; SummaryProductTable[[#This Row],[Name]] &amp; "'!B6"),"")</f>
        <v>1.886992321981424</v>
      </c>
      <c r="E24" s="22">
        <f ca="1">IF(SummaryProductTable[[#This Row],[Name]]&lt;&gt;"",SummaryProductTable[[#This Row],[Selling Price (RM)]]-SummaryProductTable[[#This Row],[Total Cost (RM)]],"")</f>
        <v>9.0130076780185764</v>
      </c>
      <c r="F24" s="22">
        <f ca="1">IF(SummaryProductTable[[#This Row],[Name]]&lt;&gt;"",(SummaryProductTable[[#This Row],[Gross Profit (RM)]]/SummaryProductTable[[#This Row],[Selling Price (RM)]])*100,"")</f>
        <v>82.688143835032818</v>
      </c>
    </row>
    <row r="25" spans="1:6">
      <c r="A25" s="21" t="s">
        <v>30</v>
      </c>
      <c r="B25" s="21" t="s">
        <v>14</v>
      </c>
      <c r="C25" s="22" cm="1">
        <f t="array" aca="1" ref="C25" ca="1">IF(SummaryProductTable[[#This Row],[Name]]&lt;&gt;"",INDIRECT("'" &amp; SummaryProductTable[[#This Row],[Name]] &amp; "'!A6"),"")</f>
        <v>10.9</v>
      </c>
      <c r="D25" s="22" cm="1">
        <f t="array" aca="1" ref="D25" ca="1">IF(SummaryProductTable[[#This Row],[Name]]&lt;&gt;"",INDIRECT("'" &amp; SummaryProductTable[[#This Row],[Name]] &amp; "'!B6"),"")</f>
        <v>1.9709242105263156</v>
      </c>
      <c r="E25" s="22">
        <f ca="1">IF(SummaryProductTable[[#This Row],[Name]]&lt;&gt;"",SummaryProductTable[[#This Row],[Selling Price (RM)]]-SummaryProductTable[[#This Row],[Total Cost (RM)]],"")</f>
        <v>8.9290757894736856</v>
      </c>
      <c r="F25" s="22">
        <f ca="1">IF(SummaryProductTable[[#This Row],[Name]]&lt;&gt;"",(SummaryProductTable[[#This Row],[Gross Profit (RM)]]/SummaryProductTable[[#This Row],[Selling Price (RM)]])*100,"")</f>
        <v>81.9181265089329</v>
      </c>
    </row>
    <row r="26" spans="1:6">
      <c r="A26" s="21" t="s">
        <v>31</v>
      </c>
      <c r="B26" s="21" t="s">
        <v>14</v>
      </c>
      <c r="C26" s="22" cm="1">
        <f t="array" aca="1" ref="C26" ca="1">IF(SummaryProductTable[[#This Row],[Name]]&lt;&gt;"",INDIRECT("'" &amp; SummaryProductTable[[#This Row],[Name]] &amp; "'!A6"),"")</f>
        <v>10.9</v>
      </c>
      <c r="D26" s="22" cm="1">
        <f t="array" aca="1" ref="D26" ca="1">IF(SummaryProductTable[[#This Row],[Name]]&lt;&gt;"",INDIRECT("'" &amp; SummaryProductTable[[#This Row],[Name]] &amp; "'!B6"),"")</f>
        <v>3.2047538345864668</v>
      </c>
      <c r="E26" s="22">
        <f ca="1">IF(SummaryProductTable[[#This Row],[Name]]&lt;&gt;"",SummaryProductTable[[#This Row],[Selling Price (RM)]]-SummaryProductTable[[#This Row],[Total Cost (RM)]],"")</f>
        <v>7.6952461654135336</v>
      </c>
      <c r="F26" s="22">
        <f ca="1">IF(SummaryProductTable[[#This Row],[Name]]&lt;&gt;"",(SummaryProductTable[[#This Row],[Gross Profit (RM)]]/SummaryProductTable[[#This Row],[Selling Price (RM)]])*100,"")</f>
        <v>70.598588673518663</v>
      </c>
    </row>
    <row r="27" spans="1:6">
      <c r="A27" s="21" t="s">
        <v>32</v>
      </c>
      <c r="B27" s="21" t="s">
        <v>14</v>
      </c>
      <c r="C27" s="22" cm="1">
        <f t="array" aca="1" ref="C27" ca="1">IF(SummaryProductTable[[#This Row],[Name]]&lt;&gt;"",INDIRECT("'" &amp; SummaryProductTable[[#This Row],[Name]] &amp; "'!A6"),"")</f>
        <v>12.9</v>
      </c>
      <c r="D27" s="22" cm="1">
        <f t="array" aca="1" ref="D27" ca="1">IF(SummaryProductTable[[#This Row],[Name]]&lt;&gt;"",INDIRECT("'" &amp; SummaryProductTable[[#This Row],[Name]] &amp; "'!B6"),"")</f>
        <v>3.2724008934099951</v>
      </c>
      <c r="E27" s="22">
        <f ca="1">IF(SummaryProductTable[[#This Row],[Name]]&lt;&gt;"",SummaryProductTable[[#This Row],[Selling Price (RM)]]-SummaryProductTable[[#This Row],[Total Cost (RM)]],"")</f>
        <v>9.6275991065900044</v>
      </c>
      <c r="F27" s="22">
        <f ca="1">IF(SummaryProductTable[[#This Row],[Name]]&lt;&gt;"",(SummaryProductTable[[#This Row],[Gross Profit (RM)]]/SummaryProductTable[[#This Row],[Selling Price (RM)]])*100,"")</f>
        <v>74.632551213875999</v>
      </c>
    </row>
    <row r="28" spans="1:6">
      <c r="A28" s="21" t="s">
        <v>33</v>
      </c>
      <c r="B28" s="21" t="s">
        <v>14</v>
      </c>
      <c r="C28" s="22" cm="1">
        <f t="array" aca="1" ref="C28" ca="1">IF(SummaryProductTable[[#This Row],[Name]]&lt;&gt;"",INDIRECT("'" &amp; SummaryProductTable[[#This Row],[Name]] &amp; "'!A6"),"")</f>
        <v>12.9</v>
      </c>
      <c r="D28" s="22" cm="1">
        <f t="array" aca="1" ref="D28" ca="1">IF(SummaryProductTable[[#This Row],[Name]]&lt;&gt;"",INDIRECT("'" &amp; SummaryProductTable[[#This Row],[Name]] &amp; "'!B6"),"")</f>
        <v>3.3563327819548876</v>
      </c>
      <c r="E28" s="22">
        <f ca="1">IF(SummaryProductTable[[#This Row],[Name]]&lt;&gt;"",SummaryProductTable[[#This Row],[Selling Price (RM)]]-SummaryProductTable[[#This Row],[Total Cost (RM)]],"")</f>
        <v>9.5436672180451119</v>
      </c>
      <c r="F28" s="22">
        <f ca="1">IF(SummaryProductTable[[#This Row],[Name]]&lt;&gt;"",(SummaryProductTable[[#This Row],[Gross Profit (RM)]]/SummaryProductTable[[#This Row],[Selling Price (RM)]])*100,"")</f>
        <v>73.981916418954356</v>
      </c>
    </row>
    <row r="29" spans="1:6">
      <c r="A29" s="21" t="s">
        <v>34</v>
      </c>
      <c r="B29" s="21" t="s">
        <v>14</v>
      </c>
      <c r="C29" s="22" cm="1">
        <f t="array" aca="1" ref="C29" ca="1">IF(SummaryProductTable[[#This Row],[Name]]&lt;&gt;"",INDIRECT("'" &amp; SummaryProductTable[[#This Row],[Name]] &amp; "'!A6"),"")</f>
        <v>7.9</v>
      </c>
      <c r="D29" s="22" cm="1">
        <f t="array" aca="1" ref="D29" ca="1">IF(SummaryProductTable[[#This Row],[Name]]&lt;&gt;"",INDIRECT("'" &amp; SummaryProductTable[[#This Row],[Name]] &amp; "'!B6"),"")</f>
        <v>3.1002399999999994</v>
      </c>
      <c r="E29" s="22">
        <f ca="1">IF(SummaryProductTable[[#This Row],[Name]]&lt;&gt;"",SummaryProductTable[[#This Row],[Selling Price (RM)]]-SummaryProductTable[[#This Row],[Total Cost (RM)]],"")</f>
        <v>4.7997600000000009</v>
      </c>
      <c r="F29" s="22">
        <f ca="1">IF(SummaryProductTable[[#This Row],[Name]]&lt;&gt;"",(SummaryProductTable[[#This Row],[Gross Profit (RM)]]/SummaryProductTable[[#This Row],[Selling Price (RM)]])*100,"")</f>
        <v>60.756455696202536</v>
      </c>
    </row>
    <row r="30" spans="1:6">
      <c r="A30" s="21" t="s">
        <v>35</v>
      </c>
      <c r="B30" s="21" t="s">
        <v>22</v>
      </c>
      <c r="C30" s="22" cm="1">
        <f t="array" aca="1" ref="C30" ca="1">IF(SummaryProductTable[[#This Row],[Name]]&lt;&gt;"",INDIRECT("'" &amp; SummaryProductTable[[#This Row],[Name]] &amp; "'!A6"),"")</f>
        <v>6</v>
      </c>
      <c r="D30" s="22" cm="1">
        <f t="array" aca="1" ref="D30" ca="1">IF(SummaryProductTable[[#This Row],[Name]]&lt;&gt;"",INDIRECT("'" &amp; SummaryProductTable[[#This Row],[Name]] &amp; "'!B6"),"")</f>
        <v>2.2995000000000001</v>
      </c>
      <c r="E30" s="22">
        <f ca="1">IF(SummaryProductTable[[#This Row],[Name]]&lt;&gt;"",SummaryProductTable[[#This Row],[Selling Price (RM)]]-SummaryProductTable[[#This Row],[Total Cost (RM)]],"")</f>
        <v>3.7004999999999999</v>
      </c>
      <c r="F30" s="22">
        <f ca="1">IF(SummaryProductTable[[#This Row],[Name]]&lt;&gt;"",(SummaryProductTable[[#This Row],[Gross Profit (RM)]]/SummaryProductTable[[#This Row],[Selling Price (RM)]])*100,"")</f>
        <v>61.675000000000004</v>
      </c>
    </row>
    <row r="31" spans="1:6">
      <c r="A31" s="21" t="s">
        <v>36</v>
      </c>
      <c r="B31" s="21" t="s">
        <v>22</v>
      </c>
      <c r="C31" s="22" cm="1">
        <f t="array" aca="1" ref="C31" ca="1">IF(SummaryProductTable[[#This Row],[Name]]&lt;&gt;"",INDIRECT("'" &amp; SummaryProductTable[[#This Row],[Name]] &amp; "'!A6"),"")</f>
        <v>7</v>
      </c>
      <c r="D31" s="22" cm="1">
        <f t="array" aca="1" ref="D31" ca="1">IF(SummaryProductTable[[#This Row],[Name]]&lt;&gt;"",INDIRECT("'" &amp; SummaryProductTable[[#This Row],[Name]] &amp; "'!B6"),"")</f>
        <v>2.4934189189189189</v>
      </c>
      <c r="E31" s="22">
        <f ca="1">IF(SummaryProductTable[[#This Row],[Name]]&lt;&gt;"",SummaryProductTable[[#This Row],[Selling Price (RM)]]-SummaryProductTable[[#This Row],[Total Cost (RM)]],"")</f>
        <v>4.5065810810810811</v>
      </c>
      <c r="F31" s="22">
        <f ca="1">IF(SummaryProductTable[[#This Row],[Name]]&lt;&gt;"",(SummaryProductTable[[#This Row],[Gross Profit (RM)]]/SummaryProductTable[[#This Row],[Selling Price (RM)]])*100,"")</f>
        <v>64.379729729729732</v>
      </c>
    </row>
    <row r="32" spans="1:6">
      <c r="A32" s="21" t="s">
        <v>37</v>
      </c>
      <c r="B32" s="21" t="s">
        <v>22</v>
      </c>
      <c r="C32" s="22" cm="1">
        <f t="array" aca="1" ref="C32" ca="1">IF(SummaryProductTable[[#This Row],[Name]]&lt;&gt;"",INDIRECT("'" &amp; SummaryProductTable[[#This Row],[Name]] &amp; "'!A6"),"")</f>
        <v>7</v>
      </c>
      <c r="D32" s="22" cm="1">
        <f t="array" aca="1" ref="D32" ca="1">IF(SummaryProductTable[[#This Row],[Name]]&lt;&gt;"",INDIRECT("'" &amp; SummaryProductTable[[#This Row],[Name]] &amp; "'!B6"),"")</f>
        <v>2.4934189189189189</v>
      </c>
      <c r="E32" s="22">
        <f ca="1">IF(SummaryProductTable[[#This Row],[Name]]&lt;&gt;"",SummaryProductTable[[#This Row],[Selling Price (RM)]]-SummaryProductTable[[#This Row],[Total Cost (RM)]],"")</f>
        <v>4.5065810810810811</v>
      </c>
      <c r="F32" s="22">
        <f ca="1">IF(SummaryProductTable[[#This Row],[Name]]&lt;&gt;"",(SummaryProductTable[[#This Row],[Gross Profit (RM)]]/SummaryProductTable[[#This Row],[Selling Price (RM)]])*100,"")</f>
        <v>64.379729729729732</v>
      </c>
    </row>
    <row r="33" spans="1:6">
      <c r="A33" s="21" t="s">
        <v>38</v>
      </c>
      <c r="B33" s="21" t="s">
        <v>22</v>
      </c>
      <c r="C33" s="22" cm="1">
        <f t="array" aca="1" ref="C33" ca="1">IF(SummaryProductTable[[#This Row],[Name]]&lt;&gt;"",INDIRECT("'" &amp; SummaryProductTable[[#This Row],[Name]] &amp; "'!A6"),"")</f>
        <v>7</v>
      </c>
      <c r="D33" s="22" cm="1">
        <f t="array" aca="1" ref="D33" ca="1">IF(SummaryProductTable[[#This Row],[Name]]&lt;&gt;"",INDIRECT("'" &amp; SummaryProductTable[[#This Row],[Name]] &amp; "'!B6"),"")</f>
        <v>2.4934189189189189</v>
      </c>
      <c r="E33" s="22">
        <f ca="1">IF(SummaryProductTable[[#This Row],[Name]]&lt;&gt;"",SummaryProductTable[[#This Row],[Selling Price (RM)]]-SummaryProductTable[[#This Row],[Total Cost (RM)]],"")</f>
        <v>4.5065810810810811</v>
      </c>
      <c r="F33" s="22">
        <f ca="1">IF(SummaryProductTable[[#This Row],[Name]]&lt;&gt;"",(SummaryProductTable[[#This Row],[Gross Profit (RM)]]/SummaryProductTable[[#This Row],[Selling Price (RM)]])*100,"")</f>
        <v>64.379729729729732</v>
      </c>
    </row>
    <row r="34" spans="1:6">
      <c r="A34" s="21" t="s">
        <v>39</v>
      </c>
      <c r="B34" s="21" t="s">
        <v>22</v>
      </c>
      <c r="C34" s="22" cm="1">
        <f t="array" aca="1" ref="C34" ca="1">IF(SummaryProductTable[[#This Row],[Name]]&lt;&gt;"",INDIRECT("'" &amp; SummaryProductTable[[#This Row],[Name]] &amp; "'!A6"),"")</f>
        <v>7</v>
      </c>
      <c r="D34" s="22" cm="1">
        <f t="array" aca="1" ref="D34" ca="1">IF(SummaryProductTable[[#This Row],[Name]]&lt;&gt;"",INDIRECT("'" &amp; SummaryProductTable[[#This Row],[Name]] &amp; "'!B6"),"")</f>
        <v>2.7570000000000001</v>
      </c>
      <c r="E34" s="22">
        <f ca="1">IF(SummaryProductTable[[#This Row],[Name]]&lt;&gt;"",SummaryProductTable[[#This Row],[Selling Price (RM)]]-SummaryProductTable[[#This Row],[Total Cost (RM)]],"")</f>
        <v>4.2430000000000003</v>
      </c>
      <c r="F34" s="22">
        <f ca="1">IF(SummaryProductTable[[#This Row],[Name]]&lt;&gt;"",(SummaryProductTable[[#This Row],[Gross Profit (RM)]]/SummaryProductTable[[#This Row],[Selling Price (RM)]])*100,"")</f>
        <v>60.614285714285721</v>
      </c>
    </row>
    <row r="35" spans="1:6">
      <c r="A35" s="21" t="s">
        <v>40</v>
      </c>
      <c r="B35" s="21" t="s">
        <v>14</v>
      </c>
      <c r="C35" s="22" cm="1">
        <f t="array" aca="1" ref="C35" ca="1">IF(SummaryProductTable[[#This Row],[Name]]&lt;&gt;"",INDIRECT("'" &amp; SummaryProductTable[[#This Row],[Name]] &amp; "'!A6"),"")</f>
        <v>8.9</v>
      </c>
      <c r="D35" s="22" cm="1">
        <f t="array" aca="1" ref="D35" ca="1">IF(SummaryProductTable[[#This Row],[Name]]&lt;&gt;"",INDIRECT("'" &amp; SummaryProductTable[[#This Row],[Name]] &amp; "'!B6"),"")</f>
        <v>4.1261034482758623</v>
      </c>
      <c r="E35" s="22">
        <f ca="1">IF(SummaryProductTable[[#This Row],[Name]]&lt;&gt;"",SummaryProductTable[[#This Row],[Selling Price (RM)]]-SummaryProductTable[[#This Row],[Total Cost (RM)]],"")</f>
        <v>4.7738965517241381</v>
      </c>
      <c r="F35" s="22">
        <f ca="1">IF(SummaryProductTable[[#This Row],[Name]]&lt;&gt;"",(SummaryProductTable[[#This Row],[Gross Profit (RM)]]/SummaryProductTable[[#This Row],[Selling Price (RM)]])*100,"")</f>
        <v>53.639287098024028</v>
      </c>
    </row>
    <row r="36" spans="1:6">
      <c r="A36" s="21" t="s">
        <v>41</v>
      </c>
      <c r="B36" s="21" t="s">
        <v>22</v>
      </c>
      <c r="C36" s="22" cm="1">
        <f t="array" aca="1" ref="C36" ca="1">IF(SummaryProductTable[[#This Row],[Name]]&lt;&gt;"",INDIRECT("'" &amp; SummaryProductTable[[#This Row],[Name]] &amp; "'!A6"),"")</f>
        <v>10.9</v>
      </c>
      <c r="D36" s="22" cm="1">
        <f t="array" aca="1" ref="D36" ca="1">IF(SummaryProductTable[[#This Row],[Name]]&lt;&gt;"",INDIRECT("'" &amp; SummaryProductTable[[#This Row],[Name]] &amp; "'!B6"),"")</f>
        <v>3.8262763636363633</v>
      </c>
      <c r="E36" s="22">
        <f ca="1">IF(SummaryProductTable[[#This Row],[Name]]&lt;&gt;"",SummaryProductTable[[#This Row],[Selling Price (RM)]]-SummaryProductTable[[#This Row],[Total Cost (RM)]],"")</f>
        <v>7.0737236363636367</v>
      </c>
      <c r="F36" s="22">
        <f ca="1">IF(SummaryProductTable[[#This Row],[Name]]&lt;&gt;"",(SummaryProductTable[[#This Row],[Gross Profit (RM)]]/SummaryProductTable[[#This Row],[Selling Price (RM)]])*100,"")</f>
        <v>64.896547122602172</v>
      </c>
    </row>
    <row r="37" spans="1:6">
      <c r="A37" s="21" t="s">
        <v>42</v>
      </c>
      <c r="B37" s="21" t="s">
        <v>22</v>
      </c>
      <c r="C37" s="22" cm="1">
        <f t="array" aca="1" ref="C37" ca="1">IF(SummaryProductTable[[#This Row],[Name]]&lt;&gt;"",INDIRECT("'" &amp; SummaryProductTable[[#This Row],[Name]] &amp; "'!A6"),"")</f>
        <v>10.9</v>
      </c>
      <c r="D37" s="22" cm="1">
        <f t="array" aca="1" ref="D37" ca="1">IF(SummaryProductTable[[#This Row],[Name]]&lt;&gt;"",INDIRECT("'" &amp; SummaryProductTable[[#This Row],[Name]] &amp; "'!B6"),"")</f>
        <v>3.3342189473684209</v>
      </c>
      <c r="E37" s="22">
        <f ca="1">IF(SummaryProductTable[[#This Row],[Name]]&lt;&gt;"",SummaryProductTable[[#This Row],[Selling Price (RM)]]-SummaryProductTable[[#This Row],[Total Cost (RM)]],"")</f>
        <v>7.5657810526315794</v>
      </c>
      <c r="F37" s="22">
        <f ca="1">IF(SummaryProductTable[[#This Row],[Name]]&lt;&gt;"",(SummaryProductTable[[#This Row],[Gross Profit (RM)]]/SummaryProductTable[[#This Row],[Selling Price (RM)]])*100,"")</f>
        <v>69.410835345243854</v>
      </c>
    </row>
    <row r="38" spans="1:6">
      <c r="A38" s="21" t="s">
        <v>43</v>
      </c>
      <c r="B38" s="21" t="s">
        <v>22</v>
      </c>
      <c r="C38" s="22" cm="1">
        <f t="array" aca="1" ref="C38" ca="1">IF(SummaryProductTable[[#This Row],[Name]]&lt;&gt;"",INDIRECT("'" &amp; SummaryProductTable[[#This Row],[Name]] &amp; "'!A6"),"")</f>
        <v>10.5</v>
      </c>
      <c r="D38" s="22" cm="1">
        <f t="array" aca="1" ref="D38" ca="1">IF(SummaryProductTable[[#This Row],[Name]]&lt;&gt;"",INDIRECT("'" &amp; SummaryProductTable[[#This Row],[Name]] &amp; "'!B6"),"")</f>
        <v>3.3342189473684209</v>
      </c>
      <c r="E38" s="22">
        <f ca="1">IF(SummaryProductTable[[#This Row],[Name]]&lt;&gt;"",SummaryProductTable[[#This Row],[Selling Price (RM)]]-SummaryProductTable[[#This Row],[Total Cost (RM)]],"")</f>
        <v>7.1657810526315791</v>
      </c>
      <c r="F38" s="22">
        <f ca="1">IF(SummaryProductTable[[#This Row],[Name]]&lt;&gt;"",(SummaryProductTable[[#This Row],[Gross Profit (RM)]]/SummaryProductTable[[#This Row],[Selling Price (RM)]])*100,"")</f>
        <v>68.245533834586467</v>
      </c>
    </row>
    <row r="39" spans="1:6">
      <c r="A39" s="21" t="s">
        <v>44</v>
      </c>
      <c r="B39" s="21" t="s">
        <v>14</v>
      </c>
      <c r="C39" s="22" cm="1">
        <f t="array" aca="1" ref="C39" ca="1">IF(SummaryProductTable[[#This Row],[Name]]&lt;&gt;"",INDIRECT("'" &amp; SummaryProductTable[[#This Row],[Name]] &amp; "'!A6"),"")</f>
        <v>8.9</v>
      </c>
      <c r="D39" s="22" cm="1">
        <f t="array" aca="1" ref="D39" ca="1">IF(SummaryProductTable[[#This Row],[Name]]&lt;&gt;"",INDIRECT("'" &amp; SummaryProductTable[[#This Row],[Name]] &amp; "'!B6"),"")</f>
        <v>2.5076666666666667</v>
      </c>
      <c r="E39" s="22">
        <f ca="1">IF(SummaryProductTable[[#This Row],[Name]]&lt;&gt;"",SummaryProductTable[[#This Row],[Selling Price (RM)]]-SummaryProductTable[[#This Row],[Total Cost (RM)]],"")</f>
        <v>6.3923333333333332</v>
      </c>
      <c r="F39" s="22">
        <f ca="1">IF(SummaryProductTable[[#This Row],[Name]]&lt;&gt;"",(SummaryProductTable[[#This Row],[Gross Profit (RM)]]/SummaryProductTable[[#This Row],[Selling Price (RM)]])*100,"")</f>
        <v>71.823970037453179</v>
      </c>
    </row>
    <row r="40" spans="1:6">
      <c r="A40" s="21" t="s">
        <v>45</v>
      </c>
      <c r="B40" s="21" t="s">
        <v>14</v>
      </c>
      <c r="C40" s="22" cm="1">
        <f t="array" aca="1" ref="C40" ca="1">IF(SummaryProductTable[[#This Row],[Name]]&lt;&gt;"",INDIRECT("'" &amp; SummaryProductTable[[#This Row],[Name]] &amp; "'!A6"),"")</f>
        <v>8.9</v>
      </c>
      <c r="D40" s="22" cm="1">
        <f t="array" aca="1" ref="D40" ca="1">IF(SummaryProductTable[[#This Row],[Name]]&lt;&gt;"",INDIRECT("'" &amp; SummaryProductTable[[#This Row],[Name]] &amp; "'!B6"),"")</f>
        <v>3.856913043478261</v>
      </c>
      <c r="E40" s="22">
        <f ca="1">IF(SummaryProductTable[[#This Row],[Name]]&lt;&gt;"",SummaryProductTable[[#This Row],[Selling Price (RM)]]-SummaryProductTable[[#This Row],[Total Cost (RM)]],"")</f>
        <v>5.0430869565217389</v>
      </c>
      <c r="F40" s="22">
        <f ca="1">IF(SummaryProductTable[[#This Row],[Name]]&lt;&gt;"",(SummaryProductTable[[#This Row],[Gross Profit (RM)]]/SummaryProductTable[[#This Row],[Selling Price (RM)]])*100,"")</f>
        <v>56.6638983878847</v>
      </c>
    </row>
    <row r="41" spans="1:6">
      <c r="A41" s="21" t="s">
        <v>46</v>
      </c>
      <c r="B41" s="21" t="s">
        <v>14</v>
      </c>
      <c r="C41" s="22" cm="1">
        <f t="array" aca="1" ref="C41" ca="1">IF(SummaryProductTable[[#This Row],[Name]]&lt;&gt;"",INDIRECT("'" &amp; SummaryProductTable[[#This Row],[Name]] &amp; "'!A6"),"")</f>
        <v>8.9</v>
      </c>
      <c r="D41" s="22" cm="1">
        <f t="array" aca="1" ref="D41" ca="1">IF(SummaryProductTable[[#This Row],[Name]]&lt;&gt;"",INDIRECT("'" &amp; SummaryProductTable[[#This Row],[Name]] &amp; "'!B6"),"")</f>
        <v>2.6309999999999998</v>
      </c>
      <c r="E41" s="22">
        <f ca="1">IF(SummaryProductTable[[#This Row],[Name]]&lt;&gt;"",SummaryProductTable[[#This Row],[Selling Price (RM)]]-SummaryProductTable[[#This Row],[Total Cost (RM)]],"")</f>
        <v>6.2690000000000001</v>
      </c>
      <c r="F41" s="22">
        <f ca="1">IF(SummaryProductTable[[#This Row],[Name]]&lt;&gt;"",(SummaryProductTable[[#This Row],[Gross Profit (RM)]]/SummaryProductTable[[#This Row],[Selling Price (RM)]])*100,"")</f>
        <v>70.438202247191001</v>
      </c>
    </row>
    <row r="42" spans="1:6">
      <c r="A42" s="21" t="s">
        <v>47</v>
      </c>
      <c r="B42" s="21" t="s">
        <v>14</v>
      </c>
      <c r="C42" s="22" cm="1">
        <f t="array" aca="1" ref="C42" ca="1">IF(SummaryProductTable[[#This Row],[Name]]&lt;&gt;"",INDIRECT("'" &amp; SummaryProductTable[[#This Row],[Name]] &amp; "'!A6"),"")</f>
        <v>8.9</v>
      </c>
      <c r="D42" s="22" cm="1">
        <f t="array" aca="1" ref="D42" ca="1">IF(SummaryProductTable[[#This Row],[Name]]&lt;&gt;"",INDIRECT("'" &amp; SummaryProductTable[[#This Row],[Name]] &amp; "'!B6"),"")</f>
        <v>3.8029324324324323</v>
      </c>
      <c r="E42" s="22">
        <f ca="1">IF(SummaryProductTable[[#This Row],[Name]]&lt;&gt;"",SummaryProductTable[[#This Row],[Selling Price (RM)]]-SummaryProductTable[[#This Row],[Total Cost (RM)]],"")</f>
        <v>5.0970675675675681</v>
      </c>
      <c r="F42" s="22">
        <f ca="1">IF(SummaryProductTable[[#This Row],[Name]]&lt;&gt;"",(SummaryProductTable[[#This Row],[Gross Profit (RM)]]/SummaryProductTable[[#This Row],[Selling Price (RM)]])*100,"")</f>
        <v>57.270422107500764</v>
      </c>
    </row>
    <row r="43" spans="1:6">
      <c r="A43" s="21" t="s">
        <v>48</v>
      </c>
      <c r="B43" s="21" t="s">
        <v>14</v>
      </c>
      <c r="C43" s="22" cm="1">
        <f t="array" aca="1" ref="C43" ca="1">IF(SummaryProductTable[[#This Row],[Name]]&lt;&gt;"",INDIRECT("'" &amp; SummaryProductTable[[#This Row],[Name]] &amp; "'!A6"),"")</f>
        <v>8</v>
      </c>
      <c r="D43" s="22" cm="1">
        <f t="array" aca="1" ref="D43" ca="1">IF(SummaryProductTable[[#This Row],[Name]]&lt;&gt;"",INDIRECT("'" &amp; SummaryProductTable[[#This Row],[Name]] &amp; "'!B6"),"")</f>
        <v>2.0066666666666664</v>
      </c>
      <c r="E43" s="22">
        <f ca="1">IF(SummaryProductTable[[#This Row],[Name]]&lt;&gt;"",SummaryProductTable[[#This Row],[Selling Price (RM)]]-SummaryProductTable[[#This Row],[Total Cost (RM)]],"")</f>
        <v>5.9933333333333341</v>
      </c>
      <c r="F43" s="22">
        <f ca="1">IF(SummaryProductTable[[#This Row],[Name]]&lt;&gt;"",(SummaryProductTable[[#This Row],[Gross Profit (RM)]]/SummaryProductTable[[#This Row],[Selling Price (RM)]])*100,"")</f>
        <v>74.916666666666671</v>
      </c>
    </row>
    <row r="44" spans="1:6">
      <c r="A44" s="21" t="s">
        <v>49</v>
      </c>
      <c r="B44" s="21" t="s">
        <v>14</v>
      </c>
      <c r="C44" s="22" cm="1">
        <f t="array" aca="1" ref="C44" ca="1">IF(SummaryProductTable[[#This Row],[Name]]&lt;&gt;"",INDIRECT("'" &amp; SummaryProductTable[[#This Row],[Name]] &amp; "'!A6"),"")</f>
        <v>7.9</v>
      </c>
      <c r="D44" s="22" cm="1">
        <f t="array" aca="1" ref="D44" ca="1">IF(SummaryProductTable[[#This Row],[Name]]&lt;&gt;"",INDIRECT("'" &amp; SummaryProductTable[[#This Row],[Name]] &amp; "'!B6"),"")</f>
        <v>1.7699199798691496</v>
      </c>
      <c r="E44" s="22">
        <f ca="1">IF(SummaryProductTable[[#This Row],[Name]]&lt;&gt;"",SummaryProductTable[[#This Row],[Selling Price (RM)]]-SummaryProductTable[[#This Row],[Total Cost (RM)]],"")</f>
        <v>6.1300800201308512</v>
      </c>
      <c r="F44" s="22">
        <f ca="1">IF(SummaryProductTable[[#This Row],[Name]]&lt;&gt;"",(SummaryProductTable[[#This Row],[Gross Profit (RM)]]/SummaryProductTable[[#This Row],[Selling Price (RM)]])*100,"")</f>
        <v>77.595949621909512</v>
      </c>
    </row>
    <row r="46" spans="1:6" ht="15">
      <c r="A46" s="25" t="s">
        <v>6</v>
      </c>
    </row>
    <row r="47" spans="1:6" ht="15">
      <c r="A47" s="70" t="s">
        <v>7</v>
      </c>
      <c r="B47" s="70" t="s">
        <v>8</v>
      </c>
      <c r="C47" s="71" t="s">
        <v>9</v>
      </c>
      <c r="D47" s="72" t="s">
        <v>10</v>
      </c>
      <c r="E47" s="73" t="s">
        <v>11</v>
      </c>
      <c r="F47" s="73" t="s">
        <v>12</v>
      </c>
    </row>
    <row r="48" spans="1:6" ht="13.5" customHeight="1">
      <c r="A48" s="21" t="s">
        <v>50</v>
      </c>
      <c r="B48" s="21" t="s">
        <v>22</v>
      </c>
      <c r="C48" s="69" cm="1">
        <f t="array" aca="1" ref="C48" ca="1">IF(PromoComboTable[[#This Row],[Name]]&lt;&gt;"",INDIRECT("'" &amp; PromoComboTable[[#This Row],[Name]] &amp; "'!A6"),"")</f>
        <v>15.9</v>
      </c>
      <c r="D48" s="22" cm="1">
        <f t="array" aca="1" ref="D48" ca="1">IF(PromoComboTable[[#This Row],[Name]]&lt;&gt;"",INDIRECT("'" &amp; PromoComboTable[[#This Row],[Name]] &amp; "'!B6"),"")</f>
        <v>6.1668487114337571</v>
      </c>
      <c r="E48" s="22">
        <f ca="1">IF(PromoComboTable[[#This Row],[Name]]&lt;&gt;"",PromoComboTable[[#This Row],[Selling Price (RM)]]-PromoComboTable[[#This Row],[Total Cost (RM)]],"")</f>
        <v>9.7331512885662441</v>
      </c>
      <c r="F48" s="22">
        <f ca="1">IF(PromoComboTable[[#This Row],[Name]]&lt;&gt;"",(PromoComboTable[[#This Row],[Gross Profit (RM)]]/PromoComboTable[[#This Row],[Selling Price (RM)]])*100,"")</f>
        <v>61.214787978404047</v>
      </c>
    </row>
    <row r="49" spans="1:10" ht="13.5" customHeight="1">
      <c r="A49" s="21" t="s">
        <v>51</v>
      </c>
      <c r="B49" s="21" t="s">
        <v>22</v>
      </c>
      <c r="C49" s="69" cm="1">
        <f t="array" aca="1" ref="C49" ca="1">IF(PromoComboTable[[#This Row],[Name]]&lt;&gt;"",INDIRECT("'" &amp; PromoComboTable[[#This Row],[Name]] &amp; "'!A6"),"")</f>
        <v>15.9</v>
      </c>
      <c r="D49" s="22" cm="1">
        <f t="array" aca="1" ref="D49" ca="1">IF(PromoComboTable[[#This Row],[Name]]&lt;&gt;"",INDIRECT("'" &amp; PromoComboTable[[#This Row],[Name]] &amp; "'!B6"),"")</f>
        <v>4.5484119298245611</v>
      </c>
      <c r="E49" s="22">
        <f ca="1">IF(PromoComboTable[[#This Row],[Name]]&lt;&gt;"",PromoComboTable[[#This Row],[Selling Price (RM)]]-PromoComboTable[[#This Row],[Total Cost (RM)]],"")</f>
        <v>11.351588070175438</v>
      </c>
      <c r="F49" s="22">
        <f ca="1">IF(PromoComboTable[[#This Row],[Name]]&lt;&gt;"",(PromoComboTable[[#This Row],[Gross Profit (RM)]]/PromoComboTable[[#This Row],[Selling Price (RM)]])*100,"")</f>
        <v>71.393635661480744</v>
      </c>
    </row>
    <row r="50" spans="1:10" ht="13.5" customHeight="1">
      <c r="A50" s="21" t="s">
        <v>52</v>
      </c>
      <c r="B50" s="21" t="s">
        <v>22</v>
      </c>
      <c r="C50" s="69" cm="1">
        <f t="array" aca="1" ref="C50" ca="1">IF(PromoComboTable[[#This Row],[Name]]&lt;&gt;"",INDIRECT("'" &amp; PromoComboTable[[#This Row],[Name]] &amp; "'!A6"),"")</f>
        <v>14.8</v>
      </c>
      <c r="D50" s="22" cm="1">
        <f t="array" aca="1" ref="D50" ca="1">IF(PromoComboTable[[#This Row],[Name]]&lt;&gt;"",INDIRECT("'" &amp; PromoComboTable[[#This Row],[Name]] &amp; "'!B6"),"")</f>
        <v>3.9034905263157889</v>
      </c>
      <c r="E50" s="22">
        <f ca="1">IF(PromoComboTable[[#This Row],[Name]]&lt;&gt;"",PromoComboTable[[#This Row],[Selling Price (RM)]]-PromoComboTable[[#This Row],[Total Cost (RM)]],"")</f>
        <v>10.896509473684212</v>
      </c>
      <c r="F50" s="22">
        <f ca="1">IF(PromoComboTable[[#This Row],[Name]]&lt;&gt;"",(PromoComboTable[[#This Row],[Gross Profit (RM)]]/PromoComboTable[[#This Row],[Selling Price (RM)]])*100,"")</f>
        <v>73.625064011379806</v>
      </c>
    </row>
    <row r="51" spans="1:10" ht="13.5" customHeight="1">
      <c r="A51" s="21" t="s">
        <v>53</v>
      </c>
      <c r="B51" s="21" t="s">
        <v>22</v>
      </c>
      <c r="C51" s="69" cm="1">
        <f t="array" aca="1" ref="C51" ca="1">IF(PromoComboTable[[#This Row],[Name]]&lt;&gt;"",INDIRECT("'" &amp; PromoComboTable[[#This Row],[Name]] &amp; "'!A6"),"")</f>
        <v>29.6</v>
      </c>
      <c r="D51" s="22" cm="1">
        <f t="array" aca="1" ref="D51" ca="1">IF(PromoComboTable[[#This Row],[Name]]&lt;&gt;"",INDIRECT("'" &amp; PromoComboTable[[#This Row],[Name]] &amp; "'!B6"),"")</f>
        <v>7.8069810526315777</v>
      </c>
      <c r="E51" s="22">
        <f ca="1">IF(PromoComboTable[[#This Row],[Name]]&lt;&gt;"",PromoComboTable[[#This Row],[Selling Price (RM)]]-PromoComboTable[[#This Row],[Total Cost (RM)]],"")</f>
        <v>21.793018947368424</v>
      </c>
      <c r="F51" s="22">
        <f ca="1">IF(PromoComboTable[[#This Row],[Name]]&lt;&gt;"",(PromoComboTable[[#This Row],[Gross Profit (RM)]]/PromoComboTable[[#This Row],[Selling Price (RM)]])*100,"")</f>
        <v>73.625064011379806</v>
      </c>
    </row>
    <row r="53" spans="1:10" ht="15">
      <c r="A53" s="25" t="s">
        <v>54</v>
      </c>
    </row>
    <row r="54" spans="1:10" ht="15">
      <c r="A54" s="32" t="s">
        <v>7</v>
      </c>
      <c r="B54" s="32" t="s">
        <v>55</v>
      </c>
      <c r="C54" s="32" t="s">
        <v>9</v>
      </c>
      <c r="D54" s="32" t="s">
        <v>56</v>
      </c>
      <c r="E54" s="25" t="s">
        <v>10</v>
      </c>
      <c r="F54" s="25" t="s">
        <v>57</v>
      </c>
      <c r="G54" s="25" t="s">
        <v>58</v>
      </c>
      <c r="H54" s="80" t="s">
        <v>59</v>
      </c>
      <c r="I54" s="25" t="s">
        <v>11</v>
      </c>
      <c r="J54" s="25" t="s">
        <v>12</v>
      </c>
    </row>
    <row r="55" spans="1:10">
      <c r="A55" s="21" t="s">
        <v>60</v>
      </c>
      <c r="B55" s="21" t="s">
        <v>61</v>
      </c>
      <c r="C55" s="29">
        <v>1.5</v>
      </c>
      <c r="D55" s="30">
        <v>130</v>
      </c>
      <c r="E55" s="31">
        <f>IF(Table57[[#This Row],[Name]]&lt;&gt;"",IF(Table57[[#This Row],[Type]]="Mixed",VLOOKUP(Table57[[#This Row],[Name]],MixedIngredientTable[#All],2,FALSE),VLOOKUP(Table57[[#This Row],[Name]],IngredientTable[#All],5,FALSE)),"")</f>
        <v>6.9</v>
      </c>
      <c r="F55" s="31">
        <f>IF(Table57[[#This Row],[Name]]&lt;&gt;"",IF(Table57[[#This Row],[Type]]="Mixed",VLOOKUP(Table57[[#This Row],[Name]],MixedIngredientTable[#All],3,FALSE),VLOOKUP(Table57[[#This Row],[Name]],IngredientTable[#All],4,FALSE)),"")</f>
        <v>700</v>
      </c>
      <c r="G55" s="30">
        <f>IF(Table57[[#This Row],[Name]]&lt;&gt;"",Table57[[#This Row],[Total Cost (RM)]]/Table57[[#This Row],[Total Units]],"")</f>
        <v>9.8571428571428577E-3</v>
      </c>
      <c r="H55" s="33">
        <f>IF(Table57[[#This Row],[Name]]&lt;&gt;"",Table57[[#This Row],[Cost per Units (RM)]]*Table57[[#This Row],[Units Per Serving]],"")</f>
        <v>1.2814285714285716</v>
      </c>
      <c r="I55" s="33">
        <f>IF(Table57[[#This Row],[Name]]&lt;&gt;"",Table57[[#This Row],[Selling Price (RM)]]-(Table57[[#This Row],[Cost per Units (RM)]]*Table57[[#This Row],[Units Per Serving]]),"")</f>
        <v>0.21857142857142842</v>
      </c>
      <c r="J55" s="33">
        <f>IF(Table57[[#This Row],[Name]]&lt;&gt;"",(Table57[[#This Row],[Gross Profit (RM)]]/Table57[[#This Row],[Selling Price (RM)]])*100,"")</f>
        <v>14.571428571428561</v>
      </c>
    </row>
    <row r="56" spans="1:10">
      <c r="A56" s="21" t="s">
        <v>62</v>
      </c>
      <c r="B56" s="21" t="s">
        <v>61</v>
      </c>
      <c r="C56" s="33">
        <v>0.7</v>
      </c>
      <c r="D56" s="30">
        <v>10</v>
      </c>
      <c r="E56" s="31">
        <f>IF(Table57[[#This Row],[Name]]&lt;&gt;"",IF(Table57[[#This Row],[Type]]="Mixed",VLOOKUP(Table57[[#This Row],[Name]],MixedIngredientTable[#All],2,FALSE),VLOOKUP(Table57[[#This Row],[Name]],IngredientTable[#All],5,FALSE)),"")</f>
        <v>23.9</v>
      </c>
      <c r="F56" s="31">
        <f>IF(Table57[[#This Row],[Name]]&lt;&gt;"",IF(Table57[[#This Row],[Type]]="Mixed",VLOOKUP(Table57[[#This Row],[Name]],MixedIngredientTable[#All],3,FALSE),VLOOKUP(Table57[[#This Row],[Name]],IngredientTable[#All],4,FALSE)),"")</f>
        <v>1000</v>
      </c>
      <c r="G56" s="30">
        <f>IF(Table57[[#This Row],[Name]]&lt;&gt;"",Table57[[#This Row],[Total Cost (RM)]]/Table57[[#This Row],[Total Units]],"")</f>
        <v>2.3899999999999998E-2</v>
      </c>
      <c r="H56" s="33">
        <f>IF(Table57[[#This Row],[Name]]&lt;&gt;"",Table57[[#This Row],[Cost per Units (RM)]]*Table57[[#This Row],[Units Per Serving]],"")</f>
        <v>0.23899999999999999</v>
      </c>
      <c r="I56" s="33">
        <f>IF(Table57[[#This Row],[Name]]&lt;&gt;"",Table57[[#This Row],[Selling Price (RM)]]-(Table57[[#This Row],[Cost per Units (RM)]]*Table57[[#This Row],[Units Per Serving]]),"")</f>
        <v>0.46099999999999997</v>
      </c>
      <c r="J56" s="33">
        <f>IF(Table57[[#This Row],[Name]]&lt;&gt;"",(Table57[[#This Row],[Gross Profit (RM)]]/Table57[[#This Row],[Selling Price (RM)]])*100,"")</f>
        <v>65.857142857142861</v>
      </c>
    </row>
    <row r="57" spans="1:10">
      <c r="A57" s="21" t="s">
        <v>63</v>
      </c>
      <c r="B57" s="21" t="s">
        <v>61</v>
      </c>
      <c r="C57" s="33">
        <v>1.5</v>
      </c>
      <c r="D57" s="30">
        <v>130</v>
      </c>
      <c r="E57" s="31">
        <f>IF(Table57[[#This Row],[Name]]&lt;&gt;"",IF(Table57[[#This Row],[Type]]="Mixed",VLOOKUP(Table57[[#This Row],[Name]],MixedIngredientTable[#All],2,FALSE),VLOOKUP(Table57[[#This Row],[Name]],IngredientTable[#All],5,FALSE)),"")</f>
        <v>7.5</v>
      </c>
      <c r="F57" s="31">
        <f>IF(Table57[[#This Row],[Name]]&lt;&gt;"",IF(Table57[[#This Row],[Type]]="Mixed",VLOOKUP(Table57[[#This Row],[Name]],MixedIngredientTable[#All],3,FALSE),VLOOKUP(Table57[[#This Row],[Name]],IngredientTable[#All],4,FALSE)),"")</f>
        <v>700</v>
      </c>
      <c r="G57" s="30">
        <f>IF(Table57[[#This Row],[Name]]&lt;&gt;"",Table57[[#This Row],[Total Cost (RM)]]/Table57[[#This Row],[Total Units]],"")</f>
        <v>1.0714285714285714E-2</v>
      </c>
      <c r="H57" s="33">
        <f>IF(Table57[[#This Row],[Name]]&lt;&gt;"",Table57[[#This Row],[Cost per Units (RM)]]*Table57[[#This Row],[Units Per Serving]],"")</f>
        <v>1.3928571428571428</v>
      </c>
      <c r="I57" s="33">
        <f>IF(Table57[[#This Row],[Name]]&lt;&gt;"",Table57[[#This Row],[Selling Price (RM)]]-(Table57[[#This Row],[Cost per Units (RM)]]*Table57[[#This Row],[Units Per Serving]]),"")</f>
        <v>0.10714285714285721</v>
      </c>
      <c r="J57" s="33">
        <f>IF(Table57[[#This Row],[Name]]&lt;&gt;"",(Table57[[#This Row],[Gross Profit (RM)]]/Table57[[#This Row],[Selling Price (RM)]])*100,"")</f>
        <v>7.1428571428571468</v>
      </c>
    </row>
    <row r="58" spans="1:10">
      <c r="A58" s="23" t="s">
        <v>64</v>
      </c>
      <c r="B58" s="21" t="s">
        <v>65</v>
      </c>
      <c r="C58" s="29">
        <v>1.5</v>
      </c>
      <c r="D58" s="30">
        <v>50</v>
      </c>
      <c r="E58" s="31">
        <f ca="1">IF(Table57[[#This Row],[Name]]&lt;&gt;"",IF(Table57[[#This Row],[Type]]="Mixed",VLOOKUP(Table57[[#This Row],[Name]],MixedIngredientTable[#All],2,FALSE),VLOOKUP(Table57[[#This Row],[Name]],IngredientTable[#All],5,FALSE)),"")</f>
        <v>16.8</v>
      </c>
      <c r="F58" s="31">
        <f ca="1">IF(Table57[[#This Row],[Name]]&lt;&gt;"",IF(Table57[[#This Row],[Type]]="Mixed",VLOOKUP(Table57[[#This Row],[Name]],MixedIngredientTable[#All],3,FALSE),VLOOKUP(Table57[[#This Row],[Name]],IngredientTable[#All],4,FALSE)),"")</f>
        <v>2400</v>
      </c>
      <c r="G58" s="30">
        <f ca="1">IF(Table57[[#This Row],[Name]]&lt;&gt;"",Table57[[#This Row],[Total Cost (RM)]]/Table57[[#This Row],[Total Units]],"")</f>
        <v>7.0000000000000001E-3</v>
      </c>
      <c r="H58" s="33">
        <f ca="1">IF(Table57[[#This Row],[Name]]&lt;&gt;"",Table57[[#This Row],[Cost per Units (RM)]]*Table57[[#This Row],[Units Per Serving]],"")</f>
        <v>0.35000000000000003</v>
      </c>
      <c r="I58" s="33">
        <f ca="1">IF(Table57[[#This Row],[Name]]&lt;&gt;"",Table57[[#This Row],[Selling Price (RM)]]-(Table57[[#This Row],[Cost per Units (RM)]]*Table57[[#This Row],[Units Per Serving]]),"")</f>
        <v>1.1499999999999999</v>
      </c>
      <c r="J58" s="33">
        <f ca="1">IF(Table57[[#This Row],[Name]]&lt;&gt;"",(Table57[[#This Row],[Gross Profit (RM)]]/Table57[[#This Row],[Selling Price (RM)]])*100,"")</f>
        <v>76.666666666666657</v>
      </c>
    </row>
    <row r="59" spans="1:10">
      <c r="A59" s="23" t="s">
        <v>66</v>
      </c>
      <c r="B59" s="21" t="s">
        <v>61</v>
      </c>
      <c r="C59" s="29">
        <v>1</v>
      </c>
      <c r="D59" s="30">
        <v>5</v>
      </c>
      <c r="E59" s="31">
        <f>IF(Table57[[#This Row],[Name]]&lt;&gt;"",IF(Table57[[#This Row],[Type]]="Mixed",VLOOKUP(Table57[[#This Row],[Name]],MixedIngredientTable[#All],2,FALSE),VLOOKUP(Table57[[#This Row],[Name]],IngredientTable[#All],5,FALSE)),"")</f>
        <v>10.9</v>
      </c>
      <c r="F59" s="31">
        <f>IF(Table57[[#This Row],[Name]]&lt;&gt;"",IF(Table57[[#This Row],[Type]]="Mixed",VLOOKUP(Table57[[#This Row],[Name]],MixedIngredientTable[#All],3,FALSE),VLOOKUP(Table57[[#This Row],[Name]],IngredientTable[#All],4,FALSE)),"")</f>
        <v>250</v>
      </c>
      <c r="G59" s="30">
        <f>IF(Table57[[#This Row],[Name]]&lt;&gt;"",Table57[[#This Row],[Total Cost (RM)]]/Table57[[#This Row],[Total Units]],"")</f>
        <v>4.36E-2</v>
      </c>
      <c r="H59" s="33">
        <f>IF(Table57[[#This Row],[Name]]&lt;&gt;"",Table57[[#This Row],[Cost per Units (RM)]]*Table57[[#This Row],[Units Per Serving]],"")</f>
        <v>0.218</v>
      </c>
      <c r="I59" s="33">
        <f>IF(Table57[[#This Row],[Name]]&lt;&gt;"",Table57[[#This Row],[Selling Price (RM)]]-(Table57[[#This Row],[Cost per Units (RM)]]*Table57[[#This Row],[Units Per Serving]]),"")</f>
        <v>0.78200000000000003</v>
      </c>
      <c r="J59" s="33">
        <f>IF(Table57[[#This Row],[Name]]&lt;&gt;"",(Table57[[#This Row],[Gross Profit (RM)]]/Table57[[#This Row],[Selling Price (RM)]])*100,"")</f>
        <v>78.2</v>
      </c>
    </row>
    <row r="60" spans="1:10">
      <c r="A60" s="23" t="s">
        <v>67</v>
      </c>
      <c r="B60" s="21" t="s">
        <v>61</v>
      </c>
      <c r="C60" s="29">
        <v>0.5</v>
      </c>
      <c r="D60" s="30">
        <v>10</v>
      </c>
      <c r="E60" s="31">
        <f>IF(Table57[[#This Row],[Name]]&lt;&gt;"",IF(Table57[[#This Row],[Type]]="Mixed",VLOOKUP(Table57[[#This Row],[Name]],MixedIngredientTable[#All],2,FALSE),VLOOKUP(Table57[[#This Row],[Name]],IngredientTable[#All],5,FALSE)),"")</f>
        <v>7.9</v>
      </c>
      <c r="F60" s="31">
        <f>IF(Table57[[#This Row],[Name]]&lt;&gt;"",IF(Table57[[#This Row],[Type]]="Mixed",VLOOKUP(Table57[[#This Row],[Name]],MixedIngredientTable[#All],3,FALSE),VLOOKUP(Table57[[#This Row],[Name]],IngredientTable[#All],4,FALSE)),"")</f>
        <v>1000</v>
      </c>
      <c r="G60" s="30">
        <f>IF(Table57[[#This Row],[Name]]&lt;&gt;"",Table57[[#This Row],[Total Cost (RM)]]/Table57[[#This Row],[Total Units]],"")</f>
        <v>7.9000000000000008E-3</v>
      </c>
      <c r="H60" s="33">
        <f>IF(Table57[[#This Row],[Name]]&lt;&gt;"",Table57[[#This Row],[Cost per Units (RM)]]*Table57[[#This Row],[Units Per Serving]],"")</f>
        <v>7.9000000000000015E-2</v>
      </c>
      <c r="I60" s="33">
        <f>IF(Table57[[#This Row],[Name]]&lt;&gt;"",Table57[[#This Row],[Selling Price (RM)]]-(Table57[[#This Row],[Cost per Units (RM)]]*Table57[[#This Row],[Units Per Serving]]),"")</f>
        <v>0.42099999999999999</v>
      </c>
      <c r="J60" s="33">
        <f>IF(Table57[[#This Row],[Name]]&lt;&gt;"",(Table57[[#This Row],[Gross Profit (RM)]]/Table57[[#This Row],[Selling Price (RM)]])*100,"")</f>
        <v>84.2</v>
      </c>
    </row>
    <row r="61" spans="1:10">
      <c r="A61" s="21" t="s">
        <v>68</v>
      </c>
      <c r="B61" s="21" t="s">
        <v>61</v>
      </c>
      <c r="C61" s="33">
        <v>0.7</v>
      </c>
      <c r="D61" s="30">
        <v>5</v>
      </c>
      <c r="E61" s="31">
        <f>IF(Table57[[#This Row],[Name]]&lt;&gt;"",IF(Table57[[#This Row],[Type]]="Mixed",VLOOKUP(Table57[[#This Row],[Name]],MixedIngredientTable[#All],2,FALSE),VLOOKUP(Table57[[#This Row],[Name]],IngredientTable[#All],5,FALSE)),"")</f>
        <v>10</v>
      </c>
      <c r="F61" s="31">
        <f>IF(Table57[[#This Row],[Name]]&lt;&gt;"",IF(Table57[[#This Row],[Type]]="Mixed",VLOOKUP(Table57[[#This Row],[Name]],MixedIngredientTable[#All],3,FALSE),VLOOKUP(Table57[[#This Row],[Name]],IngredientTable[#All],4,FALSE)),"")</f>
        <v>1000</v>
      </c>
      <c r="G61" s="30">
        <f>IF(Table57[[#This Row],[Name]]&lt;&gt;"",Table57[[#This Row],[Total Cost (RM)]]/Table57[[#This Row],[Total Units]],"")</f>
        <v>0.01</v>
      </c>
      <c r="H61" s="33">
        <f>IF(Table57[[#This Row],[Name]]&lt;&gt;"",Table57[[#This Row],[Cost per Units (RM)]]*Table57[[#This Row],[Units Per Serving]],"")</f>
        <v>0.05</v>
      </c>
      <c r="I61" s="33">
        <f>IF(Table57[[#This Row],[Name]]&lt;&gt;"",Table57[[#This Row],[Selling Price (RM)]]-(Table57[[#This Row],[Cost per Units (RM)]]*Table57[[#This Row],[Units Per Serving]]),"")</f>
        <v>0.64999999999999991</v>
      </c>
      <c r="J61" s="33">
        <f>IF(Table57[[#This Row],[Name]]&lt;&gt;"",(Table57[[#This Row],[Gross Profit (RM)]]/Table57[[#This Row],[Selling Price (RM)]])*100,"")</f>
        <v>92.857142857142847</v>
      </c>
    </row>
    <row r="62" spans="1:10">
      <c r="A62" s="21" t="s">
        <v>69</v>
      </c>
      <c r="B62" s="21" t="s">
        <v>61</v>
      </c>
      <c r="C62" s="33">
        <v>0.7</v>
      </c>
      <c r="D62" s="30">
        <v>5</v>
      </c>
      <c r="E62" s="30">
        <f>IF(Table57[[#This Row],[Name]]&lt;&gt;"",IF(Table57[[#This Row],[Type]]="Mixed",VLOOKUP(Table57[[#This Row],[Name]],MixedIngredientTable[#All],2,FALSE),VLOOKUP(Table57[[#This Row],[Name]],IngredientTable[#All],5,FALSE)),"")</f>
        <v>38.5</v>
      </c>
      <c r="F62" s="30">
        <f>IF(Table57[[#This Row],[Name]]&lt;&gt;"",IF(Table57[[#This Row],[Type]]="Mixed",VLOOKUP(Table57[[#This Row],[Name]],MixedIngredientTable[#All],3,FALSE),VLOOKUP(Table57[[#This Row],[Name]],IngredientTable[#All],4,FALSE)),"")</f>
        <v>1000</v>
      </c>
      <c r="G62" s="30">
        <f>IF(Table57[[#This Row],[Name]]&lt;&gt;"",Table57[[#This Row],[Total Cost (RM)]]/Table57[[#This Row],[Total Units]],"")</f>
        <v>3.85E-2</v>
      </c>
      <c r="H62" s="33">
        <f>IF(Table57[[#This Row],[Name]]&lt;&gt;"",Table57[[#This Row],[Cost per Units (RM)]]*Table57[[#This Row],[Units Per Serving]],"")</f>
        <v>0.1925</v>
      </c>
      <c r="I62" s="30">
        <f>IF(Table57[[#This Row],[Name]]&lt;&gt;"",Table57[[#This Row],[Selling Price (RM)]]-(Table57[[#This Row],[Cost per Units (RM)]]*Table57[[#This Row],[Units Per Serving]]),"")</f>
        <v>0.50749999999999995</v>
      </c>
      <c r="J62" s="33">
        <f>IF(Table57[[#This Row],[Name]]&lt;&gt;"",(Table57[[#This Row],[Gross Profit (RM)]]/Table57[[#This Row],[Selling Price (RM)]])*100,"")</f>
        <v>72.5</v>
      </c>
    </row>
    <row r="63" spans="1:10">
      <c r="A63" s="21" t="s">
        <v>70</v>
      </c>
      <c r="B63" s="23" t="s">
        <v>61</v>
      </c>
      <c r="C63" s="33">
        <v>1.5</v>
      </c>
      <c r="D63" s="30">
        <v>50</v>
      </c>
      <c r="E63" s="30">
        <f>IF(Table57[[#This Row],[Name]]&lt;&gt;"",IF(Table57[[#This Row],[Type]]="Mixed",VLOOKUP(Table57[[#This Row],[Name]],MixedIngredientTable[#All],2,FALSE),VLOOKUP(Table57[[#This Row],[Name]],IngredientTable[#All],5,FALSE)),"")</f>
        <v>35</v>
      </c>
      <c r="F63" s="30">
        <f>IF(Table57[[#This Row],[Name]]&lt;&gt;"",IF(Table57[[#This Row],[Type]]="Mixed",VLOOKUP(Table57[[#This Row],[Name]],MixedIngredientTable[#All],3,FALSE),VLOOKUP(Table57[[#This Row],[Name]],IngredientTable[#All],4,FALSE)),"")</f>
        <v>6000</v>
      </c>
      <c r="G63" s="30">
        <f>IF(Table57[[#This Row],[Name]]&lt;&gt;"",Table57[[#This Row],[Total Cost (RM)]]/Table57[[#This Row],[Total Units]],"")</f>
        <v>5.8333333333333336E-3</v>
      </c>
      <c r="H63" s="33">
        <f>IF(Table57[[#This Row],[Name]]&lt;&gt;"",Table57[[#This Row],[Cost per Units (RM)]]*Table57[[#This Row],[Units Per Serving]],"")</f>
        <v>0.29166666666666669</v>
      </c>
      <c r="I63" s="30">
        <f>IF(Table57[[#This Row],[Name]]&lt;&gt;"",Table57[[#This Row],[Selling Price (RM)]]-(Table57[[#This Row],[Cost per Units (RM)]]*Table57[[#This Row],[Units Per Serving]]),"")</f>
        <v>1.2083333333333333</v>
      </c>
      <c r="J63" s="33">
        <f>IF(Table57[[#This Row],[Name]]&lt;&gt;"",(Table57[[#This Row],[Gross Profit (RM)]]/Table57[[#This Row],[Selling Price (RM)]])*100,"")</f>
        <v>80.555555555555543</v>
      </c>
    </row>
    <row r="64" spans="1:10">
      <c r="A64" s="21" t="s">
        <v>71</v>
      </c>
      <c r="B64" s="23" t="s">
        <v>61</v>
      </c>
      <c r="C64" s="33">
        <v>1</v>
      </c>
      <c r="D64" s="30">
        <v>40</v>
      </c>
      <c r="E64" s="30">
        <f>IF(Table57[[#This Row],[Name]]&lt;&gt;"",IF(Table57[[#This Row],[Type]]="Mixed",VLOOKUP(Table57[[#This Row],[Name]],MixedIngredientTable[#All],2,FALSE),VLOOKUP(Table57[[#This Row],[Name]],IngredientTable[#All],5,FALSE)),"")</f>
        <v>16.5</v>
      </c>
      <c r="F64" s="30">
        <f>IF(Table57[[#This Row],[Name]]&lt;&gt;"",IF(Table57[[#This Row],[Type]]="Mixed",VLOOKUP(Table57[[#This Row],[Name]],MixedIngredientTable[#All],3,FALSE),VLOOKUP(Table57[[#This Row],[Name]],IngredientTable[#All],4,FALSE)),"")</f>
        <v>1400</v>
      </c>
      <c r="G64" s="30">
        <f>IF(Table57[[#This Row],[Name]]&lt;&gt;"",Table57[[#This Row],[Total Cost (RM)]]/Table57[[#This Row],[Total Units]],"")</f>
        <v>1.1785714285714287E-2</v>
      </c>
      <c r="H64" s="33">
        <f>IF(Table57[[#This Row],[Name]]&lt;&gt;"",Table57[[#This Row],[Cost per Units (RM)]]*Table57[[#This Row],[Units Per Serving]],"")</f>
        <v>0.47142857142857147</v>
      </c>
      <c r="I64" s="30">
        <f>IF(Table57[[#This Row],[Name]]&lt;&gt;"",Table57[[#This Row],[Selling Price (RM)]]-(Table57[[#This Row],[Cost per Units (RM)]]*Table57[[#This Row],[Units Per Serving]]),"")</f>
        <v>0.52857142857142847</v>
      </c>
      <c r="J64" s="33">
        <f>IF(Table57[[#This Row],[Name]]&lt;&gt;"",(Table57[[#This Row],[Gross Profit (RM)]]/Table57[[#This Row],[Selling Price (RM)]])*100,"")</f>
        <v>52.857142857142847</v>
      </c>
    </row>
    <row r="65" spans="1:10">
      <c r="A65" s="21" t="s">
        <v>72</v>
      </c>
      <c r="B65" s="23" t="s">
        <v>61</v>
      </c>
      <c r="C65" s="33">
        <v>1</v>
      </c>
      <c r="D65" s="30">
        <v>30</v>
      </c>
      <c r="E65" s="30">
        <f>IF(Table57[[#This Row],[Name]]&lt;&gt;"",IF(Table57[[#This Row],[Type]]="Mixed",VLOOKUP(Table57[[#This Row],[Name]],MixedIngredientTable[#All],2,FALSE),VLOOKUP(Table57[[#This Row],[Name]],IngredientTable[#All],5,FALSE)),"")</f>
        <v>18.600000000000001</v>
      </c>
      <c r="F65" s="30">
        <f>IF(Table57[[#This Row],[Name]]&lt;&gt;"",IF(Table57[[#This Row],[Type]]="Mixed",VLOOKUP(Table57[[#This Row],[Name]],MixedIngredientTable[#All],3,FALSE),VLOOKUP(Table57[[#This Row],[Name]],IngredientTable[#All],4,FALSE)),"")</f>
        <v>1000</v>
      </c>
      <c r="G65" s="30">
        <f>IF(Table57[[#This Row],[Name]]&lt;&gt;"",Table57[[#This Row],[Total Cost (RM)]]/Table57[[#This Row],[Total Units]],"")</f>
        <v>1.8600000000000002E-2</v>
      </c>
      <c r="H65" s="33">
        <f>IF(Table57[[#This Row],[Name]]&lt;&gt;"",Table57[[#This Row],[Cost per Units (RM)]]*Table57[[#This Row],[Units Per Serving]],"")</f>
        <v>0.55800000000000005</v>
      </c>
      <c r="I65" s="30">
        <f>IF(Table57[[#This Row],[Name]]&lt;&gt;"",Table57[[#This Row],[Selling Price (RM)]]-(Table57[[#This Row],[Cost per Units (RM)]]*Table57[[#This Row],[Units Per Serving]]),"")</f>
        <v>0.44199999999999995</v>
      </c>
      <c r="J65" s="33">
        <f>IF(Table57[[#This Row],[Name]]&lt;&gt;"",(Table57[[#This Row],[Gross Profit (RM)]]/Table57[[#This Row],[Selling Price (RM)]])*100,"")</f>
        <v>44.199999999999996</v>
      </c>
    </row>
    <row r="66" spans="1:10"/>
    <row r="67" spans="1:10"/>
    <row r="68" spans="1:10"/>
    <row r="69" spans="1:10"/>
    <row r="70" spans="1:10"/>
    <row r="71" spans="1:10"/>
    <row r="72" spans="1:10"/>
  </sheetData>
  <conditionalFormatting sqref="F10:F44">
    <cfRule type="cellIs" dxfId="917" priority="3" operator="lessThan">
      <formula>60</formula>
    </cfRule>
  </conditionalFormatting>
  <conditionalFormatting sqref="F48:F51">
    <cfRule type="cellIs" dxfId="916" priority="1" operator="lessThan">
      <formula>60</formula>
    </cfRule>
  </conditionalFormatting>
  <conditionalFormatting sqref="J55:J65">
    <cfRule type="cellIs" dxfId="915" priority="2" operator="lessThan">
      <formula>60</formula>
    </cfRule>
  </conditionalFormatting>
  <dataValidations count="2">
    <dataValidation type="list" allowBlank="1" showInputMessage="1" showErrorMessage="1" sqref="B55:B65" xr:uid="{851063B7-E396-E04A-9432-7E1121CDAB51}">
      <formula1>"Whole,Mixed"</formula1>
    </dataValidation>
    <dataValidation type="list" allowBlank="1" showInputMessage="1" showErrorMessage="1" sqref="B10:B44 B48:B51" xr:uid="{C5E8C26E-8CBE-44B6-BE47-093E8F48B1E0}">
      <formula1>"On, Off"</formula1>
    </dataValidation>
  </dataValidations>
  <pageMargins left="0.7" right="0.7" top="0.75" bottom="0.75" header="0.3" footer="0.3"/>
  <pageSetup paperSize="9" scale="65" orientation="landscape" horizontalDpi="0" verticalDpi="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818D-CBBB-DA48-9E1F-4D95D511B8CE}">
  <sheetPr>
    <tabColor theme="5"/>
  </sheetPr>
  <dimension ref="A1:D23"/>
  <sheetViews>
    <sheetView zoomScale="84" workbookViewId="0">
      <selection activeCell="A4" sqref="A4"/>
    </sheetView>
  </sheetViews>
  <sheetFormatPr defaultColWidth="11" defaultRowHeight="16.5"/>
  <cols>
    <col min="1" max="1" width="32" customWidth="1"/>
    <col min="2" max="2" width="18.375" bestFit="1" customWidth="1"/>
    <col min="3" max="3" width="13.75" bestFit="1" customWidth="1"/>
    <col min="4" max="4" width="23.375" bestFit="1" customWidth="1"/>
  </cols>
  <sheetData>
    <row r="1" spans="1:4">
      <c r="A1" s="47" t="s">
        <v>73</v>
      </c>
    </row>
    <row r="3" spans="1:4">
      <c r="A3" s="16" t="s">
        <v>7</v>
      </c>
      <c r="B3" s="43" t="s">
        <v>10</v>
      </c>
      <c r="C3" s="44" t="s">
        <v>57</v>
      </c>
      <c r="D3" s="45" t="s">
        <v>74</v>
      </c>
    </row>
    <row r="4" spans="1:4">
      <c r="A4" s="21" t="s">
        <v>75</v>
      </c>
      <c r="B4" s="23" cm="1">
        <f t="array" aca="1" ref="B4" ca="1">IF(MixedIngredientTable[[#This Row],[Name]]&lt;&gt;"",INDIRECT("'" &amp; MixedIngredientTable[[#This Row],[Name]] &amp; "'!A5"),"")</f>
        <v>53</v>
      </c>
      <c r="C4" s="23" cm="1">
        <f t="array" aca="1" ref="C4" ca="1">IF(MixedIngredientTable[[#This Row],[Name]]&lt;&gt;"",INDIRECT("'" &amp; MixedIngredientTable[[#This Row],[Name]] &amp; "'!B5"),"")</f>
        <v>9500</v>
      </c>
      <c r="D4" s="21">
        <f ca="1">IF(MixedIngredientTable[[#This Row],[Name]]&lt;&gt;"",MixedIngredientTable[[#This Row],[Total Cost (RM)]]/MixedIngredientTable[[#This Row],[Total Units]],"")</f>
        <v>5.5789473684210522E-3</v>
      </c>
    </row>
    <row r="5" spans="1:4">
      <c r="A5" s="21" t="s">
        <v>76</v>
      </c>
      <c r="B5" s="23" cm="1">
        <f t="array" aca="1" ref="B5" ca="1">IF(MixedIngredientTable[[#This Row],[Name]]&lt;&gt;"",INDIRECT("'" &amp; MixedIngredientTable[[#This Row],[Name]] &amp; "'!A5"),"")</f>
        <v>2.88</v>
      </c>
      <c r="C5" s="23" cm="1">
        <f t="array" aca="1" ref="C5" ca="1">IF(MixedIngredientTable[[#This Row],[Name]]&lt;&gt;"",INDIRECT("'" &amp; MixedIngredientTable[[#This Row],[Name]] &amp; "'!B5"),"")</f>
        <v>190</v>
      </c>
      <c r="D5" s="21">
        <f ca="1">IF(MixedIngredientTable[[#This Row],[Name]]&lt;&gt;"",MixedIngredientTable[[#This Row],[Total Cost (RM)]]/MixedIngredientTable[[#This Row],[Total Units]],"")</f>
        <v>1.5157894736842105E-2</v>
      </c>
    </row>
    <row r="6" spans="1:4">
      <c r="A6" s="21" t="s">
        <v>77</v>
      </c>
      <c r="B6" s="23" cm="1">
        <f t="array" aca="1" ref="B6" ca="1">IF(MixedIngredientTable[[#This Row],[Name]]&lt;&gt;"",INDIRECT("'" &amp; MixedIngredientTable[[#This Row],[Name]] &amp; "'!A5"),"")</f>
        <v>0.47199999999999998</v>
      </c>
      <c r="C6" s="23" cm="1">
        <f t="array" aca="1" ref="C6" ca="1">IF(MixedIngredientTable[[#This Row],[Name]]&lt;&gt;"",INDIRECT("'" &amp; MixedIngredientTable[[#This Row],[Name]] &amp; "'!B5"),"")</f>
        <v>22</v>
      </c>
      <c r="D6" s="21">
        <f ca="1">IF(MixedIngredientTable[[#This Row],[Name]]&lt;&gt;"",MixedIngredientTable[[#This Row],[Total Cost (RM)]]/MixedIngredientTable[[#This Row],[Total Units]],"")</f>
        <v>2.1454545454545452E-2</v>
      </c>
    </row>
    <row r="7" spans="1:4">
      <c r="A7" s="21" t="s">
        <v>64</v>
      </c>
      <c r="B7" s="23" cm="1">
        <f t="array" aca="1" ref="B7" ca="1">IF(MixedIngredientTable[[#This Row],[Name]]&lt;&gt;"",INDIRECT("'" &amp; MixedIngredientTable[[#This Row],[Name]] &amp; "'!A5"),"")</f>
        <v>16.8</v>
      </c>
      <c r="C7" s="23" cm="1">
        <f t="array" aca="1" ref="C7" ca="1">IF(MixedIngredientTable[[#This Row],[Name]]&lt;&gt;"",INDIRECT("'" &amp; MixedIngredientTable[[#This Row],[Name]] &amp; "'!B5"),"")</f>
        <v>2400</v>
      </c>
      <c r="D7" s="21">
        <f ca="1">IF(MixedIngredientTable[[#This Row],[Name]]&lt;&gt;"",MixedIngredientTable[[#This Row],[Total Cost (RM)]]/MixedIngredientTable[[#This Row],[Total Units]],"")</f>
        <v>7.0000000000000001E-3</v>
      </c>
    </row>
    <row r="8" spans="1:4">
      <c r="A8" s="21" t="s">
        <v>78</v>
      </c>
      <c r="B8" s="23" cm="1">
        <f t="array" aca="1" ref="B8" ca="1">IF(MixedIngredientTable[[#This Row],[Name]]&lt;&gt;"",INDIRECT("'" &amp; MixedIngredientTable[[#This Row],[Name]] &amp; "'!A5"),"")</f>
        <v>1.1499999999999999</v>
      </c>
      <c r="C8" s="23" cm="1">
        <f t="array" aca="1" ref="C8" ca="1">IF(MixedIngredientTable[[#This Row],[Name]]&lt;&gt;"",INDIRECT("'" &amp; MixedIngredientTable[[#This Row],[Name]] &amp; "'!B5"),"")</f>
        <v>170</v>
      </c>
      <c r="D8" s="21">
        <f ca="1">IF(MixedIngredientTable[[#This Row],[Name]]&lt;&gt;"",MixedIngredientTable[[#This Row],[Total Cost (RM)]]/MixedIngredientTable[[#This Row],[Total Units]],"")</f>
        <v>6.7647058823529409E-3</v>
      </c>
    </row>
    <row r="9" spans="1:4">
      <c r="A9" s="21" t="s">
        <v>79</v>
      </c>
      <c r="B9" s="23" cm="1">
        <f t="array" aca="1" ref="B9" ca="1">IF(MixedIngredientTable[[#This Row],[Name]]&lt;&gt;"",INDIRECT("'" &amp; MixedIngredientTable[[#This Row],[Name]] &amp; "'!A5"),"")</f>
        <v>19.536000000000001</v>
      </c>
      <c r="C9" s="23" cm="1">
        <f t="array" aca="1" ref="C9" ca="1">IF(MixedIngredientTable[[#This Row],[Name]]&lt;&gt;"",INDIRECT("'" &amp; MixedIngredientTable[[#This Row],[Name]] &amp; "'!B5"),"")</f>
        <v>1987</v>
      </c>
      <c r="D9" s="21">
        <f ca="1">IF(MixedIngredientTable[[#This Row],[Name]]&lt;&gt;"",MixedIngredientTable[[#This Row],[Total Cost (RM)]]/MixedIngredientTable[[#This Row],[Total Units]],"")</f>
        <v>9.8319073980875707E-3</v>
      </c>
    </row>
    <row r="10" spans="1:4">
      <c r="A10" s="21" t="s">
        <v>80</v>
      </c>
      <c r="B10" s="23" cm="1">
        <f t="array" aca="1" ref="B10" ca="1">IF(MixedIngredientTable[[#This Row],[Name]]&lt;&gt;"",INDIRECT("'" &amp; MixedIngredientTable[[#This Row],[Name]] &amp; "'!A5"),"")</f>
        <v>2.2710363636363633</v>
      </c>
      <c r="C10" s="23" cm="1">
        <f t="array" aca="1" ref="C10" ca="1">IF(MixedIngredientTable[[#This Row],[Name]]&lt;&gt;"",INDIRECT("'" &amp; MixedIngredientTable[[#This Row],[Name]] &amp; "'!B5"),"")</f>
        <v>90</v>
      </c>
      <c r="D10" s="21">
        <f ca="1">IF(MixedIngredientTable[[#This Row],[Name]]&lt;&gt;"",MixedIngredientTable[[#This Row],[Total Cost (RM)]]/MixedIngredientTable[[#This Row],[Total Units]],"")</f>
        <v>2.523373737373737E-2</v>
      </c>
    </row>
    <row r="11" spans="1:4">
      <c r="A11" s="21" t="s">
        <v>81</v>
      </c>
      <c r="B11" s="23" cm="1">
        <f t="array" aca="1" ref="B11" ca="1">IF(MixedIngredientTable[[#This Row],[Name]]&lt;&gt;"",INDIRECT("'" &amp; MixedIngredientTable[[#This Row],[Name]] &amp; "'!A5"),"")</f>
        <v>1.778978947368421</v>
      </c>
      <c r="C11" s="23" cm="1">
        <f t="array" aca="1" ref="C11" ca="1">IF(MixedIngredientTable[[#This Row],[Name]]&lt;&gt;"",INDIRECT("'" &amp; MixedIngredientTable[[#This Row],[Name]] &amp; "'!B5"),"")</f>
        <v>90</v>
      </c>
      <c r="D11" s="21">
        <f ca="1">IF(MixedIngredientTable[[#This Row],[Name]]&lt;&gt;"",MixedIngredientTable[[#This Row],[Total Cost (RM)]]/MixedIngredientTable[[#This Row],[Total Units]],"")</f>
        <v>1.976643274853801E-2</v>
      </c>
    </row>
    <row r="12" spans="1:4">
      <c r="A12" s="21" t="s">
        <v>82</v>
      </c>
      <c r="B12" s="23" cm="1">
        <f t="array" aca="1" ref="B12" ca="1">IF(MixedIngredientTable[[#This Row],[Name]]&lt;&gt;"",INDIRECT("'" &amp; MixedIngredientTable[[#This Row],[Name]] &amp; "'!A5"),"")</f>
        <v>1.9323999999999999</v>
      </c>
      <c r="C12" s="23" cm="1">
        <f t="array" aca="1" ref="C12" ca="1">IF(MixedIngredientTable[[#This Row],[Name]]&lt;&gt;"",INDIRECT("'" &amp; MixedIngredientTable[[#This Row],[Name]] &amp; "'!B5"),"")</f>
        <v>90</v>
      </c>
      <c r="D12" s="21">
        <f ca="1">IF(MixedIngredientTable[[#This Row],[Name]]&lt;&gt;"",MixedIngredientTable[[#This Row],[Total Cost (RM)]]/MixedIngredientTable[[#This Row],[Total Units]],"")</f>
        <v>2.1471111111111111E-2</v>
      </c>
    </row>
    <row r="13" spans="1:4">
      <c r="A13" s="21"/>
      <c r="B13" s="23"/>
      <c r="C13" s="23"/>
      <c r="D13" s="21"/>
    </row>
    <row r="14" spans="1:4">
      <c r="A14" s="21"/>
      <c r="B14" s="23"/>
      <c r="C14" s="23"/>
      <c r="D14" s="21"/>
    </row>
    <row r="15" spans="1:4">
      <c r="A15" s="21"/>
      <c r="B15" s="23"/>
      <c r="C15" s="23"/>
      <c r="D15" s="21"/>
    </row>
    <row r="16" spans="1:4">
      <c r="A16" s="21"/>
      <c r="B16" s="23"/>
      <c r="C16" s="23"/>
      <c r="D16" s="21"/>
    </row>
    <row r="17" spans="1:4">
      <c r="A17" s="21"/>
      <c r="B17" s="23"/>
      <c r="C17" s="23"/>
      <c r="D17" s="21"/>
    </row>
    <row r="18" spans="1:4">
      <c r="A18" s="21"/>
      <c r="B18" s="23"/>
      <c r="C18" s="23"/>
      <c r="D18" s="21"/>
    </row>
    <row r="19" spans="1:4">
      <c r="A19" s="21"/>
      <c r="B19" s="23"/>
      <c r="C19" s="23"/>
      <c r="D19" s="21"/>
    </row>
    <row r="20" spans="1:4">
      <c r="A20" s="21"/>
      <c r="B20" s="23"/>
      <c r="C20" s="23"/>
      <c r="D20" s="21"/>
    </row>
    <row r="21" spans="1:4">
      <c r="A21" s="21"/>
      <c r="B21" s="23"/>
      <c r="C21" s="23"/>
      <c r="D21" s="21"/>
    </row>
    <row r="22" spans="1:4">
      <c r="A22" s="21"/>
      <c r="B22" s="23"/>
      <c r="C22" s="23"/>
      <c r="D22" s="21"/>
    </row>
    <row r="23" spans="1:4">
      <c r="A23" s="21"/>
      <c r="B23" s="23"/>
      <c r="C23" s="23"/>
      <c r="D23" s="2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D412-6895-2040-AC52-46DADC734C2A}">
  <sheetPr>
    <tabColor theme="5" tint="0.39997558519241921"/>
  </sheetPr>
  <dimension ref="A1:D12"/>
  <sheetViews>
    <sheetView workbookViewId="0">
      <selection activeCell="A9" sqref="A9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83</v>
      </c>
      <c r="B1" s="1" t="s">
        <v>75</v>
      </c>
    </row>
    <row r="3" spans="1:4">
      <c r="A3" s="1" t="s">
        <v>84</v>
      </c>
    </row>
    <row r="4" spans="1:4">
      <c r="A4" s="12" t="s">
        <v>10</v>
      </c>
      <c r="B4" s="4" t="s">
        <v>57</v>
      </c>
    </row>
    <row r="5" spans="1:4">
      <c r="A5" s="6">
        <f>SUM(Table18[[#Totals],[Total Cost (RM)]])</f>
        <v>53</v>
      </c>
      <c r="B5" s="6">
        <v>9500</v>
      </c>
    </row>
    <row r="7" spans="1:4">
      <c r="A7" s="1" t="s">
        <v>85</v>
      </c>
    </row>
    <row r="8" spans="1:4">
      <c r="A8" s="7" t="s">
        <v>7</v>
      </c>
      <c r="B8" s="5" t="s">
        <v>86</v>
      </c>
      <c r="C8" s="13" t="s">
        <v>74</v>
      </c>
      <c r="D8" s="13" t="s">
        <v>10</v>
      </c>
    </row>
    <row r="9" spans="1:4">
      <c r="A9" t="s">
        <v>87</v>
      </c>
      <c r="B9">
        <v>3500</v>
      </c>
      <c r="C9">
        <f>IF(A9&lt;&gt;"",VLOOKUP(Table18[[#This Row],[Name]], IngredientTable[], 6, FALSE),"")</f>
        <v>7.5714285714285718E-3</v>
      </c>
      <c r="D9">
        <f>IF(Table18[[#This Row],[Name]]&lt;&gt;"",Table18[[#This Row],[Quantity]]*Table18[[#This Row],[Cost Per Unit (RM)]],"")</f>
        <v>26.5</v>
      </c>
    </row>
    <row r="10" spans="1:4">
      <c r="A10" t="s">
        <v>88</v>
      </c>
      <c r="B10">
        <v>5000</v>
      </c>
      <c r="C10">
        <f>IF(A10&lt;&gt;"",VLOOKUP(Table18[[#This Row],[Name]], IngredientTable[], 6, FALSE),"")</f>
        <v>5.3E-3</v>
      </c>
      <c r="D10">
        <f>IF(Table18[[#This Row],[Name]]&lt;&gt;"",Table18[[#This Row],[Quantity]]*Table18[[#This Row],[Cost Per Unit (RM)]],"")</f>
        <v>26.5</v>
      </c>
    </row>
    <row r="11" spans="1:4">
      <c r="C11" t="str">
        <f>IF(A11&lt;&gt;"",VLOOKUP(Table18[[#This Row],[Name]], IngredientTable[], 5, FALSE),"")</f>
        <v/>
      </c>
      <c r="D11" t="str">
        <f>IF(Table18[[#This Row],[Name]]&lt;&gt;"",Table18[[#This Row],[Quantity]]*Table18[[#This Row],[Cost Per Unit (RM)]],"")</f>
        <v/>
      </c>
    </row>
    <row r="12" spans="1:4">
      <c r="D12">
        <f>SUM(Table18[Total Cost (RM)])</f>
        <v>53</v>
      </c>
    </row>
  </sheetData>
  <dataValidations count="1">
    <dataValidation type="list" allowBlank="1" showInputMessage="1" showErrorMessage="1" sqref="A9:A11" xr:uid="{19FEE38D-497C-2549-BCD1-AB6E6CFE8AC6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0121-D48E-4B81-A55E-CF3F6C4DBF94}">
  <sheetPr>
    <tabColor theme="5" tint="0.39997558519241921"/>
  </sheetPr>
  <dimension ref="A1:D12"/>
  <sheetViews>
    <sheetView workbookViewId="0">
      <selection activeCell="B8" sqref="B8"/>
    </sheetView>
  </sheetViews>
  <sheetFormatPr defaultColWidth="11" defaultRowHeight="15.75"/>
  <cols>
    <col min="1" max="1" width="18.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 ht="16.5">
      <c r="A1" s="1" t="s">
        <v>83</v>
      </c>
      <c r="B1" s="1" t="s">
        <v>79</v>
      </c>
    </row>
    <row r="3" spans="1:4" ht="16.5">
      <c r="A3" s="1" t="s">
        <v>84</v>
      </c>
    </row>
    <row r="4" spans="1:4" ht="16.5">
      <c r="A4" s="12" t="s">
        <v>10</v>
      </c>
      <c r="B4" s="4" t="s">
        <v>57</v>
      </c>
    </row>
    <row r="5" spans="1:4" ht="16.5">
      <c r="A5" s="6">
        <f>SUM(Table1892[[#Totals],[Total Cost (RM)]])</f>
        <v>19.536000000000001</v>
      </c>
      <c r="B5" s="6">
        <v>1987</v>
      </c>
    </row>
    <row r="7" spans="1:4" ht="16.5">
      <c r="A7" s="1" t="s">
        <v>85</v>
      </c>
    </row>
    <row r="8" spans="1:4" ht="16.5">
      <c r="A8" s="7" t="s">
        <v>7</v>
      </c>
      <c r="B8" s="5" t="s">
        <v>86</v>
      </c>
      <c r="C8" s="13" t="s">
        <v>74</v>
      </c>
      <c r="D8" s="13" t="s">
        <v>10</v>
      </c>
    </row>
    <row r="9" spans="1:4" ht="16.5">
      <c r="A9" t="s">
        <v>89</v>
      </c>
      <c r="B9">
        <v>1000</v>
      </c>
      <c r="C9">
        <f>IF(A9&lt;&gt;"",VLOOKUP(Table1892[[#This Row],[Name]], IngredientTable[], 6, FALSE),"")</f>
        <v>1.7500000000000002E-2</v>
      </c>
      <c r="D9">
        <f>IF(Table1892[[#This Row],[Name]]&lt;&gt;"",Table1892[[#This Row],[Quantity]]*Table1892[[#This Row],[Cost Per Unit (RM)]],"")</f>
        <v>17.5</v>
      </c>
    </row>
    <row r="10" spans="1:4" ht="16.5">
      <c r="A10" t="s">
        <v>90</v>
      </c>
      <c r="B10">
        <v>200</v>
      </c>
      <c r="C10">
        <f>IF(A10&lt;&gt;"",VLOOKUP(Table1892[[#This Row],[Name]], IngredientTable[], 6, FALSE),"")</f>
        <v>6.1799999999999997E-3</v>
      </c>
      <c r="D10">
        <f>IF(Table1892[[#This Row],[Name]]&lt;&gt;"",Table1892[[#This Row],[Quantity]]*Table1892[[#This Row],[Cost Per Unit (RM)]],"")</f>
        <v>1.236</v>
      </c>
    </row>
    <row r="11" spans="1:4" ht="16.5">
      <c r="A11" t="s">
        <v>91</v>
      </c>
      <c r="B11">
        <v>2</v>
      </c>
      <c r="C11">
        <f>IF(A11&lt;&gt;"",VLOOKUP(Table1892[[#This Row],[Name]], IngredientTable[], 6, FALSE),"")</f>
        <v>0.4</v>
      </c>
      <c r="D11">
        <f>IF(Table1892[[#This Row],[Name]]&lt;&gt;"",Table1892[[#This Row],[Quantity]]*Table1892[[#This Row],[Cost Per Unit (RM)]],"")</f>
        <v>0.8</v>
      </c>
    </row>
    <row r="12" spans="1:4" ht="16.5">
      <c r="D12">
        <f>SUM(Table1892[Total Cost (RM)])</f>
        <v>19.536000000000001</v>
      </c>
    </row>
  </sheetData>
  <dataValidations count="1">
    <dataValidation type="list" allowBlank="1" showInputMessage="1" showErrorMessage="1" sqref="A9:A11" xr:uid="{7161BC88-EF8E-493E-A49E-959BBB57AE6F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0114-460E-C543-A519-C1100EB5C19F}">
  <sheetPr>
    <tabColor theme="5" tint="0.39997558519241921"/>
  </sheetPr>
  <dimension ref="A1:D10"/>
  <sheetViews>
    <sheetView workbookViewId="0">
      <selection activeCell="A8" sqref="A8:B8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83</v>
      </c>
      <c r="B1" s="1" t="s">
        <v>76</v>
      </c>
    </row>
    <row r="3" spans="1:4">
      <c r="A3" s="1" t="s">
        <v>84</v>
      </c>
    </row>
    <row r="4" spans="1:4">
      <c r="A4" s="12" t="s">
        <v>10</v>
      </c>
      <c r="B4" s="4" t="s">
        <v>57</v>
      </c>
    </row>
    <row r="5" spans="1:4">
      <c r="A5" s="6">
        <f>SUM(Table1810[[#Totals],[Total Cost (RM)]])</f>
        <v>2.88</v>
      </c>
      <c r="B5" s="6">
        <v>190</v>
      </c>
    </row>
    <row r="7" spans="1:4">
      <c r="A7" s="1" t="s">
        <v>85</v>
      </c>
    </row>
    <row r="8" spans="1:4">
      <c r="A8" s="7" t="s">
        <v>7</v>
      </c>
      <c r="B8" s="5" t="s">
        <v>86</v>
      </c>
      <c r="C8" s="13" t="s">
        <v>74</v>
      </c>
      <c r="D8" s="13" t="s">
        <v>10</v>
      </c>
    </row>
    <row r="9" spans="1:4">
      <c r="A9" t="s">
        <v>92</v>
      </c>
      <c r="B9">
        <v>30</v>
      </c>
      <c r="C9">
        <f>IF(A9&lt;&gt;"",VLOOKUP(Table1810[[#This Row],[Name]], IngredientTable[], 6, FALSE),"")</f>
        <v>9.6000000000000002E-2</v>
      </c>
      <c r="D9">
        <f>IF(Table1810[[#This Row],[Name]]&lt;&gt;"",Table1810[[#This Row],[Quantity]]*Table1810[[#This Row],[Cost Per Unit (RM)]],"")</f>
        <v>2.88</v>
      </c>
    </row>
    <row r="10" spans="1:4">
      <c r="D10">
        <f>SUM(Table1810[Total Cost (RM)])</f>
        <v>2.88</v>
      </c>
    </row>
  </sheetData>
  <dataValidations count="1">
    <dataValidation type="list" allowBlank="1" showInputMessage="1" showErrorMessage="1" sqref="A9" xr:uid="{37D9C1C6-1FB4-0241-951F-4E2076174239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B74D-FA1B-714B-A763-502E4F4E34C6}">
  <sheetPr>
    <tabColor theme="5" tint="0.39997558519241921"/>
  </sheetPr>
  <dimension ref="A1:D10"/>
  <sheetViews>
    <sheetView workbookViewId="0">
      <selection activeCell="B12" sqref="B12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83</v>
      </c>
      <c r="B1" s="1" t="s">
        <v>77</v>
      </c>
    </row>
    <row r="3" spans="1:4">
      <c r="A3" s="1" t="s">
        <v>84</v>
      </c>
    </row>
    <row r="4" spans="1:4">
      <c r="A4" s="12" t="s">
        <v>10</v>
      </c>
      <c r="B4" s="4" t="s">
        <v>57</v>
      </c>
    </row>
    <row r="5" spans="1:4">
      <c r="A5" s="6">
        <f>SUM(Table181011[[#Totals],[Total Cost (RM)]])</f>
        <v>0.47199999999999998</v>
      </c>
      <c r="B5" s="6">
        <v>22</v>
      </c>
    </row>
    <row r="7" spans="1:4">
      <c r="A7" s="1" t="s">
        <v>85</v>
      </c>
    </row>
    <row r="8" spans="1:4">
      <c r="A8" s="7" t="s">
        <v>7</v>
      </c>
      <c r="B8" s="5" t="s">
        <v>86</v>
      </c>
      <c r="C8" s="13" t="s">
        <v>74</v>
      </c>
      <c r="D8" s="13" t="s">
        <v>10</v>
      </c>
    </row>
    <row r="9" spans="1:4">
      <c r="A9" t="s">
        <v>93</v>
      </c>
      <c r="B9">
        <v>8</v>
      </c>
      <c r="C9">
        <f>IF(A9&lt;&gt;"",VLOOKUP(Table181011[[#This Row],[Name]], IngredientTable[], 6, FALSE),"")</f>
        <v>5.8999999999999997E-2</v>
      </c>
      <c r="D9">
        <f>IF(Table181011[[#This Row],[Name]]&lt;&gt;"",Table181011[[#This Row],[Quantity]]*Table181011[[#This Row],[Cost Per Unit (RM)]],"")</f>
        <v>0.47199999999999998</v>
      </c>
    </row>
    <row r="10" spans="1:4">
      <c r="D10">
        <f>SUM(Table181011[Total Cost (RM)])</f>
        <v>0.47199999999999998</v>
      </c>
    </row>
  </sheetData>
  <dataValidations count="1">
    <dataValidation type="list" allowBlank="1" showInputMessage="1" showErrorMessage="1" sqref="A9" xr:uid="{A008AEAE-DA7D-ED4B-AF8E-5F166B91802B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810F-1499-D84F-B220-A4B3B6A56015}">
  <sheetPr>
    <tabColor theme="5" tint="0.39997558519241921"/>
  </sheetPr>
  <dimension ref="A1:D11"/>
  <sheetViews>
    <sheetView workbookViewId="0">
      <selection activeCell="A8" sqref="A8:B8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83</v>
      </c>
      <c r="B1" s="1" t="s">
        <v>78</v>
      </c>
    </row>
    <row r="3" spans="1:4">
      <c r="A3" s="1" t="s">
        <v>84</v>
      </c>
    </row>
    <row r="4" spans="1:4">
      <c r="A4" s="12" t="s">
        <v>10</v>
      </c>
      <c r="B4" s="4" t="s">
        <v>57</v>
      </c>
    </row>
    <row r="5" spans="1:4">
      <c r="A5" s="6">
        <f>SUM(Table18101115[[#Totals],[Total Cost (RM)]])</f>
        <v>1.1499999999999999</v>
      </c>
      <c r="B5" s="6">
        <v>170</v>
      </c>
    </row>
    <row r="7" spans="1:4">
      <c r="A7" s="1" t="s">
        <v>85</v>
      </c>
    </row>
    <row r="8" spans="1:4">
      <c r="A8" s="7" t="s">
        <v>7</v>
      </c>
      <c r="B8" s="5" t="s">
        <v>86</v>
      </c>
      <c r="C8" s="13" t="s">
        <v>74</v>
      </c>
      <c r="D8" s="13" t="s">
        <v>10</v>
      </c>
    </row>
    <row r="9" spans="1:4">
      <c r="A9" t="s">
        <v>94</v>
      </c>
      <c r="B9" s="18">
        <v>20</v>
      </c>
      <c r="C9" s="18">
        <f>IF(A9&lt;&gt;"",VLOOKUP(Table18101115[[#This Row],[Name]], IngredientTable[], 6, FALSE),"")</f>
        <v>3.875E-2</v>
      </c>
      <c r="D9" s="18">
        <f>IF(Table18101115[[#This Row],[Name]]&lt;&gt;"",Table18101115[[#This Row],[Quantity]]*Table18101115[[#This Row],[Cost Per Unit (RM)]],"")</f>
        <v>0.77500000000000002</v>
      </c>
    </row>
    <row r="10" spans="1:4">
      <c r="A10" s="17" t="s">
        <v>95</v>
      </c>
      <c r="B10" s="18">
        <v>30</v>
      </c>
      <c r="C10" s="18">
        <f>IF(A10&lt;&gt;"",VLOOKUP(Table18101115[[#This Row],[Name]], IngredientTable[], 6, FALSE),"")</f>
        <v>1.2500000000000001E-2</v>
      </c>
      <c r="D10" s="18">
        <f>IF(Table18101115[[#This Row],[Name]]&lt;&gt;"",Table18101115[[#This Row],[Quantity]]*Table18101115[[#This Row],[Cost Per Unit (RM)]],"")</f>
        <v>0.375</v>
      </c>
    </row>
    <row r="11" spans="1:4">
      <c r="A11" s="13"/>
      <c r="B11" s="18"/>
      <c r="C11" s="18"/>
      <c r="D11" s="18">
        <f>SUM(Table18101115[Total Cost (RM)])</f>
        <v>1.1499999999999999</v>
      </c>
    </row>
  </sheetData>
  <dataValidations count="1">
    <dataValidation type="list" allowBlank="1" showInputMessage="1" showErrorMessage="1" sqref="A9:A10" xr:uid="{D0D607EE-1592-454F-9C54-7166DD50AB61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A470-8EB7-4C96-9EC6-EFDD6591BF55}">
  <sheetPr>
    <tabColor theme="5" tint="0.39997558519241921"/>
  </sheetPr>
  <dimension ref="A1:D18"/>
  <sheetViews>
    <sheetView workbookViewId="0">
      <selection activeCell="B2" sqref="B2"/>
    </sheetView>
  </sheetViews>
  <sheetFormatPr defaultColWidth="11" defaultRowHeight="15.75"/>
  <cols>
    <col min="1" max="1" width="17.7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 ht="16.5">
      <c r="A1" s="1" t="s">
        <v>83</v>
      </c>
      <c r="B1" s="1" t="s">
        <v>80</v>
      </c>
    </row>
    <row r="3" spans="1:4" ht="16.5">
      <c r="A3" s="1" t="s">
        <v>84</v>
      </c>
    </row>
    <row r="4" spans="1:4" ht="16.5">
      <c r="A4" s="12" t="s">
        <v>10</v>
      </c>
      <c r="B4" s="4" t="s">
        <v>57</v>
      </c>
    </row>
    <row r="5" spans="1:4" ht="16.5">
      <c r="A5" s="6">
        <f ca="1">SUM(Table18101115112[[#Totals],[Total Cost (RM)]]+Table114113[[#Totals],[Total Cost (RM)]])</f>
        <v>2.2710363636363633</v>
      </c>
      <c r="B5" s="6">
        <v>90</v>
      </c>
    </row>
    <row r="7" spans="1:4" ht="16.5">
      <c r="A7" s="1" t="s">
        <v>85</v>
      </c>
    </row>
    <row r="8" spans="1:4" ht="16.5">
      <c r="A8" s="7" t="s">
        <v>7</v>
      </c>
      <c r="B8" s="5" t="s">
        <v>86</v>
      </c>
      <c r="C8" s="13" t="s">
        <v>74</v>
      </c>
      <c r="D8" s="13" t="s">
        <v>10</v>
      </c>
    </row>
    <row r="9" spans="1:4" ht="16.5">
      <c r="A9" t="s">
        <v>96</v>
      </c>
      <c r="B9" s="18">
        <v>50</v>
      </c>
      <c r="C9" s="18">
        <f>IF(A9&lt;&gt;"",VLOOKUP(Table18101115112[[#This Row],[Name]], IngredientTable[], 6, FALSE),"")</f>
        <v>3.125E-2</v>
      </c>
      <c r="D9" s="18">
        <f>IF(Table18101115112[[#This Row],[Name]]&lt;&gt;"",Table18101115112[[#This Row],[Quantity]]*Table18101115112[[#This Row],[Cost Per Unit (RM)]],"")</f>
        <v>1.5625</v>
      </c>
    </row>
    <row r="10" spans="1:4" ht="16.5">
      <c r="A10" s="17" t="s">
        <v>97</v>
      </c>
      <c r="B10" s="18">
        <v>10</v>
      </c>
      <c r="C10" s="18">
        <f>IF(A10&lt;&gt;"",VLOOKUP(Table18101115112[[#This Row],[Name]], IngredientTable[], 6, FALSE),"")</f>
        <v>6.4900000000000001E-3</v>
      </c>
      <c r="D10" s="18">
        <f>IF(Table18101115112[[#This Row],[Name]]&lt;&gt;"",Table18101115112[[#This Row],[Quantity]]*Table18101115112[[#This Row],[Cost Per Unit (RM)]],"")</f>
        <v>6.4899999999999999E-2</v>
      </c>
    </row>
    <row r="11" spans="1:4" ht="16.5">
      <c r="B11" s="18"/>
      <c r="C11" s="18" t="str">
        <f>IF(A11&lt;&gt;"",VLOOKUP(Table18101115112[[#This Row],[Name]], IngredientTable[], 6, FALSE),"")</f>
        <v/>
      </c>
      <c r="D11" s="78" t="str">
        <f>IF(Table18101115112[[#This Row],[Name]]&lt;&gt;"",Table18101115112[[#This Row],[Quantity]]*Table18101115112[[#This Row],[Cost Per Unit (RM)]],"")</f>
        <v/>
      </c>
    </row>
    <row r="12" spans="1:4">
      <c r="A12" s="13"/>
      <c r="B12" s="18"/>
      <c r="C12" s="18"/>
      <c r="D12" s="18">
        <f>SUM(Table18101115112[Total Cost (RM)])</f>
        <v>1.6274</v>
      </c>
    </row>
    <row r="13" spans="1:4">
      <c r="A13" s="13"/>
      <c r="B13" s="18"/>
      <c r="C13" s="18"/>
      <c r="D13" s="18"/>
    </row>
    <row r="14" spans="1:4">
      <c r="A14" s="1" t="s">
        <v>98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77</v>
      </c>
      <c r="B16" s="13">
        <v>30</v>
      </c>
      <c r="C16" s="13">
        <f ca="1">IF(A16&lt;&gt;"",VLOOKUP(Table114113[[#This Row],[Name]], MixedIngredientTable[], 4, FALSE),"")</f>
        <v>2.1454545454545452E-2</v>
      </c>
      <c r="D16" s="13">
        <f ca="1">IF(Table114113[[#This Row],[Name]]&lt;&gt;"",Table114113[[#This Row],[Quantity]]*Table114113[[#This Row],[Cost Per Unit (RM)]],"")</f>
        <v>0.64363636363636356</v>
      </c>
    </row>
    <row r="17" spans="3:4">
      <c r="C17" s="13" t="str">
        <f>IF(A17&lt;&gt;"",VLOOKUP(Table114113[[#This Row],[Name]], MixedIngredientTable[], 4, FALSE),"")</f>
        <v/>
      </c>
      <c r="D17" s="13" t="str">
        <f>IF(Table114113[[#This Row],[Name]]&lt;&gt;"",Table114113[[#This Row],[Quantity]]*Table114113[[#This Row],[Cost Per Unit (RM)]],"")</f>
        <v/>
      </c>
    </row>
    <row r="18" spans="3:4">
      <c r="D18" s="13">
        <f ca="1">SUM(Table114113[Total Cost (RM)])</f>
        <v>0.64363636363636356</v>
      </c>
    </row>
  </sheetData>
  <dataValidations count="2">
    <dataValidation type="list" allowBlank="1" showInputMessage="1" showErrorMessage="1" sqref="A9:A13" xr:uid="{1A43A2F7-AB8C-41D5-AAE8-F6C113CC84B1}">
      <formula1>INDIRECT("IngredientTable[Name]")</formula1>
    </dataValidation>
    <dataValidation type="list" allowBlank="1" showInputMessage="1" showErrorMessage="1" sqref="A16:A17" xr:uid="{24DC426C-62CA-48D1-B37D-188C6847EAD1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F14F-0F63-4B06-941C-3E333C1E08FE}">
  <sheetPr>
    <tabColor theme="5" tint="0.39997558519241921"/>
  </sheetPr>
  <dimension ref="A1:D18"/>
  <sheetViews>
    <sheetView workbookViewId="0">
      <selection activeCell="B2" sqref="B2"/>
    </sheetView>
  </sheetViews>
  <sheetFormatPr defaultColWidth="11" defaultRowHeight="15.75"/>
  <cols>
    <col min="1" max="1" width="17.7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 ht="16.5">
      <c r="A1" s="1" t="s">
        <v>83</v>
      </c>
      <c r="B1" s="1" t="s">
        <v>81</v>
      </c>
    </row>
    <row r="3" spans="1:4" ht="16.5">
      <c r="A3" s="1" t="s">
        <v>84</v>
      </c>
    </row>
    <row r="4" spans="1:4" ht="16.5">
      <c r="A4" s="12" t="s">
        <v>10</v>
      </c>
      <c r="B4" s="4" t="s">
        <v>57</v>
      </c>
    </row>
    <row r="5" spans="1:4" ht="16.5">
      <c r="A5" s="6">
        <f ca="1">SUM(Table18101115112114[[#Totals],[Total Cost (RM)]]+Table114113115[[#Totals],[Total Cost (RM)]])</f>
        <v>1.778978947368421</v>
      </c>
      <c r="B5" s="6">
        <v>90</v>
      </c>
    </row>
    <row r="7" spans="1:4" ht="16.5">
      <c r="A7" s="1" t="s">
        <v>85</v>
      </c>
    </row>
    <row r="8" spans="1:4" ht="16.5">
      <c r="A8" s="7" t="s">
        <v>7</v>
      </c>
      <c r="B8" s="5" t="s">
        <v>86</v>
      </c>
      <c r="C8" s="13" t="s">
        <v>74</v>
      </c>
      <c r="D8" s="13" t="s">
        <v>10</v>
      </c>
    </row>
    <row r="9" spans="1:4" ht="16.5">
      <c r="A9" t="s">
        <v>96</v>
      </c>
      <c r="B9" s="18">
        <v>50</v>
      </c>
      <c r="C9" s="18">
        <f>IF(A9&lt;&gt;"",VLOOKUP(Table18101115112114[[#This Row],[Name]], IngredientTable[], 6, FALSE),"")</f>
        <v>3.125E-2</v>
      </c>
      <c r="D9" s="18">
        <f>IF(Table18101115112114[[#This Row],[Name]]&lt;&gt;"",Table18101115112114[[#This Row],[Quantity]]*Table18101115112114[[#This Row],[Cost Per Unit (RM)]],"")</f>
        <v>1.5625</v>
      </c>
    </row>
    <row r="10" spans="1:4" ht="16.5">
      <c r="A10" s="17" t="s">
        <v>97</v>
      </c>
      <c r="B10" s="18">
        <v>10</v>
      </c>
      <c r="C10" s="18">
        <f>IF(A10&lt;&gt;"",VLOOKUP(Table18101115112114[[#This Row],[Name]], IngredientTable[], 6, FALSE),"")</f>
        <v>6.4900000000000001E-3</v>
      </c>
      <c r="D10" s="18">
        <f>IF(Table18101115112114[[#This Row],[Name]]&lt;&gt;"",Table18101115112114[[#This Row],[Quantity]]*Table18101115112114[[#This Row],[Cost Per Unit (RM)]],"")</f>
        <v>6.4899999999999999E-2</v>
      </c>
    </row>
    <row r="11" spans="1:4" ht="16.5">
      <c r="B11" s="18"/>
      <c r="C11" s="18" t="str">
        <f>IF(A11&lt;&gt;"",VLOOKUP(Table18101115112114[[#This Row],[Name]], IngredientTable[], 6, FALSE),"")</f>
        <v/>
      </c>
      <c r="D11" s="78" t="str">
        <f>IF(Table18101115112114[[#This Row],[Name]]&lt;&gt;"",Table18101115112114[[#This Row],[Quantity]]*Table18101115112114[[#This Row],[Cost Per Unit (RM)]],"")</f>
        <v/>
      </c>
    </row>
    <row r="12" spans="1:4">
      <c r="A12" s="13"/>
      <c r="B12" s="18"/>
      <c r="C12" s="18"/>
      <c r="D12" s="18">
        <f>SUM(Table18101115112114[Total Cost (RM)])</f>
        <v>1.6274</v>
      </c>
    </row>
    <row r="13" spans="1:4">
      <c r="A13" s="13"/>
      <c r="B13" s="18"/>
      <c r="C13" s="18"/>
      <c r="D13" s="18"/>
    </row>
    <row r="14" spans="1:4">
      <c r="A14" s="1" t="s">
        <v>98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76</v>
      </c>
      <c r="B16" s="13">
        <v>10</v>
      </c>
      <c r="C16" s="13">
        <f ca="1">IF(A16&lt;&gt;"",VLOOKUP(Table114113115[[#This Row],[Name]], MixedIngredientTable[], 4, FALSE),"")</f>
        <v>1.5157894736842105E-2</v>
      </c>
      <c r="D16" s="13">
        <f ca="1">IF(Table114113115[[#This Row],[Name]]&lt;&gt;"",Table114113115[[#This Row],[Quantity]]*Table114113115[[#This Row],[Cost Per Unit (RM)]],"")</f>
        <v>0.15157894736842104</v>
      </c>
    </row>
    <row r="17" spans="3:4">
      <c r="C17" s="13" t="str">
        <f>IF(A17&lt;&gt;"",VLOOKUP(Table114113115[[#This Row],[Name]], MixedIngredientTable[], 4, FALSE),"")</f>
        <v/>
      </c>
      <c r="D17" s="13" t="str">
        <f>IF(Table114113115[[#This Row],[Name]]&lt;&gt;"",Table114113115[[#This Row],[Quantity]]*Table114113115[[#This Row],[Cost Per Unit (RM)]],"")</f>
        <v/>
      </c>
    </row>
    <row r="18" spans="3:4">
      <c r="D18" s="13">
        <f ca="1">SUM(Table114113115[Total Cost (RM)])</f>
        <v>0.15157894736842104</v>
      </c>
    </row>
  </sheetData>
  <dataValidations count="2">
    <dataValidation type="list" allowBlank="1" showInputMessage="1" showErrorMessage="1" sqref="A16:A17" xr:uid="{2D8E9793-2385-45ED-87AA-99C3EFF00996}">
      <formula1>INDIRECT("MixedIngredientTable[Name]")</formula1>
    </dataValidation>
    <dataValidation type="list" allowBlank="1" showInputMessage="1" showErrorMessage="1" sqref="A9:A13" xr:uid="{FB50194F-F82D-4A89-836E-99008281FEA5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72EA-0FC5-4D7E-9394-935BF88B55BA}">
  <sheetPr>
    <tabColor theme="5" tint="0.39997558519241921"/>
  </sheetPr>
  <dimension ref="A1:D18"/>
  <sheetViews>
    <sheetView workbookViewId="0">
      <selection activeCell="B2" sqref="B2"/>
    </sheetView>
  </sheetViews>
  <sheetFormatPr defaultColWidth="11" defaultRowHeight="15.75"/>
  <cols>
    <col min="1" max="1" width="20.87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 ht="16.5">
      <c r="A1" s="1" t="s">
        <v>83</v>
      </c>
      <c r="B1" s="1" t="s">
        <v>82</v>
      </c>
    </row>
    <row r="3" spans="1:4" ht="16.5">
      <c r="A3" s="1" t="s">
        <v>84</v>
      </c>
    </row>
    <row r="4" spans="1:4" ht="16.5">
      <c r="A4" s="12" t="s">
        <v>10</v>
      </c>
      <c r="B4" s="4" t="s">
        <v>57</v>
      </c>
    </row>
    <row r="5" spans="1:4" ht="16.5">
      <c r="A5" s="6">
        <f>SUM(Table18101115112114116[[#Totals],[Total Cost (RM)]]+Table114113115117[[#Totals],[Total Cost (RM)]])</f>
        <v>1.9323999999999999</v>
      </c>
      <c r="B5" s="6">
        <v>90</v>
      </c>
    </row>
    <row r="7" spans="1:4" ht="16.5">
      <c r="A7" s="1" t="s">
        <v>85</v>
      </c>
    </row>
    <row r="8" spans="1:4" ht="16.5">
      <c r="A8" s="7" t="s">
        <v>7</v>
      </c>
      <c r="B8" s="5" t="s">
        <v>86</v>
      </c>
      <c r="C8" s="13" t="s">
        <v>74</v>
      </c>
      <c r="D8" s="13" t="s">
        <v>10</v>
      </c>
    </row>
    <row r="9" spans="1:4" ht="16.5">
      <c r="A9" t="s">
        <v>96</v>
      </c>
      <c r="B9" s="18">
        <v>50</v>
      </c>
      <c r="C9" s="18">
        <f>IF(A9&lt;&gt;"",VLOOKUP(Table18101115112114116[[#This Row],[Name]], IngredientTable[], 6, FALSE),"")</f>
        <v>3.125E-2</v>
      </c>
      <c r="D9" s="18">
        <f>IF(Table18101115112114116[[#This Row],[Name]]&lt;&gt;"",Table18101115112114116[[#This Row],[Quantity]]*Table18101115112114116[[#This Row],[Cost Per Unit (RM)]],"")</f>
        <v>1.5625</v>
      </c>
    </row>
    <row r="10" spans="1:4" ht="16.5">
      <c r="A10" s="17" t="s">
        <v>97</v>
      </c>
      <c r="B10" s="18">
        <v>10</v>
      </c>
      <c r="C10" s="18">
        <f>IF(A10&lt;&gt;"",VLOOKUP(Table18101115112114116[[#This Row],[Name]], IngredientTable[], 6, FALSE),"")</f>
        <v>6.4900000000000001E-3</v>
      </c>
      <c r="D10" s="18">
        <f>IF(Table18101115112114116[[#This Row],[Name]]&lt;&gt;"",Table18101115112114116[[#This Row],[Quantity]]*Table18101115112114116[[#This Row],[Cost Per Unit (RM)]],"")</f>
        <v>6.4899999999999999E-2</v>
      </c>
    </row>
    <row r="11" spans="1:4" ht="16.5">
      <c r="A11" t="s">
        <v>99</v>
      </c>
      <c r="B11" s="18">
        <v>10</v>
      </c>
      <c r="C11" s="18">
        <f>IF(A11&lt;&gt;"",VLOOKUP(Table18101115112114116[[#This Row],[Name]], IngredientTable[], 6, FALSE),"")</f>
        <v>3.0499999999999999E-2</v>
      </c>
      <c r="D11" s="78">
        <f>IF(Table18101115112114116[[#This Row],[Name]]&lt;&gt;"",Table18101115112114116[[#This Row],[Quantity]]*Table18101115112114116[[#This Row],[Cost Per Unit (RM)]],"")</f>
        <v>0.30499999999999999</v>
      </c>
    </row>
    <row r="12" spans="1:4">
      <c r="A12" s="13"/>
      <c r="B12" s="18"/>
      <c r="C12" s="18"/>
      <c r="D12" s="18">
        <f>SUM(Table18101115112114116[Total Cost (RM)])</f>
        <v>1.9323999999999999</v>
      </c>
    </row>
    <row r="13" spans="1:4">
      <c r="A13" s="13"/>
      <c r="B13" s="18"/>
      <c r="C13" s="18"/>
      <c r="D13" s="18"/>
    </row>
    <row r="14" spans="1:4">
      <c r="A14" s="1" t="s">
        <v>98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B16" s="13"/>
      <c r="C16" s="13" t="str">
        <f>IF(A16&lt;&gt;"",VLOOKUP(Table114113115117[[#This Row],[Name]], MixedIngredientTable[], 4, FALSE),"")</f>
        <v/>
      </c>
      <c r="D16" s="13" t="str">
        <f>IF(Table114113115117[[#This Row],[Name]]&lt;&gt;"",Table114113115117[[#This Row],[Quantity]]*Table114113115117[[#This Row],[Cost Per Unit (RM)]],"")</f>
        <v/>
      </c>
    </row>
    <row r="17" spans="3:4">
      <c r="C17" s="13" t="str">
        <f>IF(A17&lt;&gt;"",VLOOKUP(Table114113115117[[#This Row],[Name]], MixedIngredientTable[], 4, FALSE),"")</f>
        <v/>
      </c>
      <c r="D17" s="13" t="str">
        <f>IF(Table114113115117[[#This Row],[Name]]&lt;&gt;"",Table114113115117[[#This Row],[Quantity]]*Table114113115117[[#This Row],[Cost Per Unit (RM)]],"")</f>
        <v/>
      </c>
    </row>
    <row r="18" spans="3:4">
      <c r="D18" s="13">
        <f>SUM(Table114113115117[Total Cost (RM)])</f>
        <v>0</v>
      </c>
    </row>
  </sheetData>
  <dataValidations count="2">
    <dataValidation type="list" allowBlank="1" showInputMessage="1" showErrorMessage="1" sqref="A9:A13" xr:uid="{8B3A635F-7073-4DF7-800B-C5A310D52124}">
      <formula1>INDIRECT("IngredientTable[Name]")</formula1>
    </dataValidation>
    <dataValidation type="list" allowBlank="1" showInputMessage="1" showErrorMessage="1" sqref="A16:A17" xr:uid="{7A6812F4-1427-48A9-A3BB-17B35905D47B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AAC5-A231-EA45-9C81-52C51820B61D}">
  <sheetPr>
    <tabColor theme="7" tint="0.39997558519241921"/>
  </sheetPr>
  <dimension ref="A1:D10"/>
  <sheetViews>
    <sheetView workbookViewId="0">
      <selection activeCell="B5" sqref="B5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83</v>
      </c>
      <c r="B1" s="1" t="s">
        <v>64</v>
      </c>
    </row>
    <row r="3" spans="1:4">
      <c r="A3" s="1" t="s">
        <v>84</v>
      </c>
    </row>
    <row r="4" spans="1:4">
      <c r="A4" s="12" t="s">
        <v>10</v>
      </c>
      <c r="B4" s="4" t="s">
        <v>57</v>
      </c>
    </row>
    <row r="5" spans="1:4">
      <c r="A5" s="6">
        <f>SUM(Table1810111516[[#Totals],[Total Cost (RM)]])</f>
        <v>16.8</v>
      </c>
      <c r="B5" s="6">
        <v>2400</v>
      </c>
    </row>
    <row r="7" spans="1:4">
      <c r="A7" s="1" t="s">
        <v>85</v>
      </c>
    </row>
    <row r="8" spans="1:4">
      <c r="A8" t="s">
        <v>7</v>
      </c>
      <c r="B8" s="13" t="s">
        <v>86</v>
      </c>
      <c r="C8" s="5" t="s">
        <v>74</v>
      </c>
      <c r="D8" s="5" t="s">
        <v>10</v>
      </c>
    </row>
    <row r="9" spans="1:4">
      <c r="A9" t="s">
        <v>64</v>
      </c>
      <c r="B9" s="18">
        <v>400</v>
      </c>
      <c r="C9" s="18">
        <f>IF(A9&lt;&gt;"",VLOOKUP(Table1810111516[[#This Row],[Name]], IngredientTable[], 6, FALSE),"")</f>
        <v>4.2000000000000003E-2</v>
      </c>
      <c r="D9" s="18">
        <f>IF(Table1810111516[[#This Row],[Name]]&lt;&gt;"",Table1810111516[[#This Row],[Quantity]]*Table1810111516[[#This Row],[Cost Per Unit (RM)]],"")</f>
        <v>16.8</v>
      </c>
    </row>
    <row r="10" spans="1:4">
      <c r="A10" s="13"/>
      <c r="B10" s="18"/>
      <c r="C10" s="18"/>
      <c r="D10" s="18">
        <f>SUM(Table1810111516[Total Cost (RM)])</f>
        <v>16.8</v>
      </c>
    </row>
  </sheetData>
  <dataValidations count="1">
    <dataValidation type="list" allowBlank="1" showInputMessage="1" showErrorMessage="1" sqref="A9" xr:uid="{3074FC62-1D4C-1944-8FFA-DA7110195567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B887-6CBC-1C48-97D6-F05067B30AC4}">
  <sheetPr>
    <tabColor theme="6"/>
  </sheetPr>
  <dimension ref="A1:G62"/>
  <sheetViews>
    <sheetView workbookViewId="0">
      <selection activeCell="E10" sqref="E10"/>
    </sheetView>
  </sheetViews>
  <sheetFormatPr defaultColWidth="10.875" defaultRowHeight="16.5"/>
  <cols>
    <col min="1" max="1" width="35.875" customWidth="1"/>
    <col min="2" max="2" width="12.125" bestFit="1" customWidth="1"/>
    <col min="3" max="3" width="21.125" bestFit="1" customWidth="1"/>
    <col min="4" max="4" width="21.125" customWidth="1"/>
    <col min="5" max="5" width="20.5" bestFit="1" customWidth="1"/>
    <col min="6" max="6" width="19" bestFit="1" customWidth="1"/>
  </cols>
  <sheetData>
    <row r="1" spans="1:7">
      <c r="A1" s="48" t="s">
        <v>100</v>
      </c>
    </row>
    <row r="3" spans="1:7" ht="15.75">
      <c r="A3" s="10" t="s">
        <v>7</v>
      </c>
      <c r="B3" s="10" t="s">
        <v>101</v>
      </c>
      <c r="C3" s="11" t="s">
        <v>102</v>
      </c>
      <c r="D3" s="8" t="s">
        <v>57</v>
      </c>
      <c r="E3" s="11" t="s">
        <v>103</v>
      </c>
      <c r="F3" s="8" t="s">
        <v>74</v>
      </c>
      <c r="G3" s="79"/>
    </row>
    <row r="4" spans="1:7" ht="15.75">
      <c r="A4" s="21" t="s">
        <v>60</v>
      </c>
      <c r="B4" s="21">
        <v>1</v>
      </c>
      <c r="C4" s="21">
        <v>700</v>
      </c>
      <c r="D4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700</v>
      </c>
      <c r="E4" s="22">
        <v>6.9</v>
      </c>
      <c r="F4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9.8571428571428577E-3</v>
      </c>
      <c r="G4" s="21"/>
    </row>
    <row r="5" spans="1:7" ht="15.75">
      <c r="A5" s="21" t="s">
        <v>104</v>
      </c>
      <c r="B5" s="21">
        <v>1</v>
      </c>
      <c r="C5" s="21">
        <v>5000</v>
      </c>
      <c r="D5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5000</v>
      </c>
      <c r="E5" s="22">
        <v>51.99</v>
      </c>
      <c r="F5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1.0398000000000001E-2</v>
      </c>
      <c r="G5" s="21"/>
    </row>
    <row r="6" spans="1:7" ht="15.75">
      <c r="A6" s="21" t="s">
        <v>94</v>
      </c>
      <c r="B6" s="21">
        <v>1</v>
      </c>
      <c r="C6" s="21">
        <v>400</v>
      </c>
      <c r="D6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400</v>
      </c>
      <c r="E6" s="22">
        <v>15.5</v>
      </c>
      <c r="F6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3.875E-2</v>
      </c>
      <c r="G6" s="21"/>
    </row>
    <row r="7" spans="1:7" ht="15.75">
      <c r="A7" s="21" t="s">
        <v>62</v>
      </c>
      <c r="B7" s="21">
        <v>1</v>
      </c>
      <c r="C7" s="21">
        <v>1000</v>
      </c>
      <c r="D7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7" s="22">
        <v>23.9</v>
      </c>
      <c r="F7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2.3899999999999998E-2</v>
      </c>
      <c r="G7" s="21"/>
    </row>
    <row r="8" spans="1:7" ht="15.75">
      <c r="A8" s="21" t="s">
        <v>105</v>
      </c>
      <c r="B8" s="21">
        <v>1</v>
      </c>
      <c r="C8" s="21">
        <v>1</v>
      </c>
      <c r="D8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</v>
      </c>
      <c r="E8" s="22">
        <f>E59*(220/(220+80))/220</f>
        <v>4.4999999999999997E-3</v>
      </c>
      <c r="F8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4.4999999999999997E-3</v>
      </c>
      <c r="G8" s="21"/>
    </row>
    <row r="9" spans="1:7" ht="15.75">
      <c r="A9" s="21" t="s">
        <v>106</v>
      </c>
      <c r="B9" s="21">
        <v>1</v>
      </c>
      <c r="C9" s="21">
        <v>1</v>
      </c>
      <c r="D9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</v>
      </c>
      <c r="E9" s="22">
        <f>E59*(80/(220+80))/80</f>
        <v>4.5000000000000005E-3</v>
      </c>
      <c r="F9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4.5000000000000005E-3</v>
      </c>
      <c r="G9" s="21"/>
    </row>
    <row r="10" spans="1:7" ht="15.75">
      <c r="A10" s="21" t="s">
        <v>95</v>
      </c>
      <c r="B10" s="21">
        <v>1</v>
      </c>
      <c r="C10" s="21">
        <v>1000</v>
      </c>
      <c r="D10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10" s="22">
        <v>12.5</v>
      </c>
      <c r="F10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1.2500000000000001E-2</v>
      </c>
      <c r="G10" s="21"/>
    </row>
    <row r="11" spans="1:7" ht="15.75">
      <c r="A11" s="21" t="s">
        <v>99</v>
      </c>
      <c r="B11" s="21">
        <v>1</v>
      </c>
      <c r="C11" s="21">
        <v>2000</v>
      </c>
      <c r="D11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2000</v>
      </c>
      <c r="E11" s="22">
        <v>61</v>
      </c>
      <c r="F11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3.0499999999999999E-2</v>
      </c>
      <c r="G11" s="21"/>
    </row>
    <row r="12" spans="1:7" ht="15.75">
      <c r="A12" s="21" t="s">
        <v>68</v>
      </c>
      <c r="B12" s="21">
        <v>1</v>
      </c>
      <c r="C12" s="21">
        <v>1000</v>
      </c>
      <c r="D12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12" s="22">
        <v>10</v>
      </c>
      <c r="F12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0.01</v>
      </c>
      <c r="G12" s="21"/>
    </row>
    <row r="13" spans="1:7" ht="15.75">
      <c r="A13" s="23" t="s">
        <v>66</v>
      </c>
      <c r="B13" s="21">
        <v>1</v>
      </c>
      <c r="C13" s="21">
        <v>250</v>
      </c>
      <c r="D13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250</v>
      </c>
      <c r="E13" s="22">
        <v>10.9</v>
      </c>
      <c r="F13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4.36E-2</v>
      </c>
      <c r="G13" s="21"/>
    </row>
    <row r="14" spans="1:7" ht="15.75">
      <c r="A14" s="23" t="s">
        <v>107</v>
      </c>
      <c r="B14" s="21">
        <v>1</v>
      </c>
      <c r="C14" s="21">
        <v>100</v>
      </c>
      <c r="D14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</v>
      </c>
      <c r="E14" s="22">
        <v>30</v>
      </c>
      <c r="F14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0.3</v>
      </c>
      <c r="G14" s="21"/>
    </row>
    <row r="15" spans="1:7" ht="15.75">
      <c r="A15" s="21" t="s">
        <v>70</v>
      </c>
      <c r="B15" s="21">
        <v>1</v>
      </c>
      <c r="C15" s="21">
        <v>6000</v>
      </c>
      <c r="D15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6000</v>
      </c>
      <c r="E15" s="22">
        <v>35</v>
      </c>
      <c r="F15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5.8333333333333336E-3</v>
      </c>
      <c r="G15" s="21"/>
    </row>
    <row r="16" spans="1:7" ht="15.75">
      <c r="A16" s="21" t="s">
        <v>108</v>
      </c>
      <c r="B16" s="21">
        <v>1</v>
      </c>
      <c r="C16" s="21">
        <v>740</v>
      </c>
      <c r="D16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740</v>
      </c>
      <c r="E16" s="22">
        <v>20.5</v>
      </c>
      <c r="F16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2.7702702702702704E-2</v>
      </c>
      <c r="G16" s="21"/>
    </row>
    <row r="17" spans="1:7" ht="15.75">
      <c r="A17" s="21" t="s">
        <v>109</v>
      </c>
      <c r="B17" s="21">
        <v>1</v>
      </c>
      <c r="C17" s="21">
        <v>740</v>
      </c>
      <c r="D17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740</v>
      </c>
      <c r="E17" s="22">
        <v>20.5</v>
      </c>
      <c r="F17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2.7702702702702704E-2</v>
      </c>
      <c r="G17" s="21"/>
    </row>
    <row r="18" spans="1:7" ht="15.75">
      <c r="A18" s="21" t="s">
        <v>110</v>
      </c>
      <c r="B18" s="21">
        <v>1</v>
      </c>
      <c r="C18" s="21">
        <v>740</v>
      </c>
      <c r="D18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740</v>
      </c>
      <c r="E18" s="22">
        <v>20.5</v>
      </c>
      <c r="F18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2.7702702702702704E-2</v>
      </c>
      <c r="G18" s="21"/>
    </row>
    <row r="19" spans="1:7" ht="15.75">
      <c r="A19" s="21" t="s">
        <v>111</v>
      </c>
      <c r="B19" s="21">
        <v>1</v>
      </c>
      <c r="C19" s="21">
        <v>1000</v>
      </c>
      <c r="D19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19" s="22">
        <v>33</v>
      </c>
      <c r="F19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3.3000000000000002E-2</v>
      </c>
      <c r="G19" s="21"/>
    </row>
    <row r="20" spans="1:7" ht="15.75">
      <c r="A20" s="21" t="s">
        <v>112</v>
      </c>
      <c r="B20" s="21">
        <v>1</v>
      </c>
      <c r="C20" s="21">
        <v>1000</v>
      </c>
      <c r="D20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20" s="22">
        <v>33</v>
      </c>
      <c r="F20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3.3000000000000002E-2</v>
      </c>
      <c r="G20" s="21"/>
    </row>
    <row r="21" spans="1:7" ht="15.75">
      <c r="A21" s="21" t="s">
        <v>113</v>
      </c>
      <c r="B21" s="21">
        <v>1</v>
      </c>
      <c r="C21" s="21">
        <v>1000</v>
      </c>
      <c r="D21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21" s="22">
        <v>33</v>
      </c>
      <c r="F21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3.3000000000000002E-2</v>
      </c>
      <c r="G21" s="21"/>
    </row>
    <row r="22" spans="1:7" ht="15.75">
      <c r="A22" s="21" t="s">
        <v>114</v>
      </c>
      <c r="B22" s="21">
        <v>1</v>
      </c>
      <c r="C22" s="21">
        <v>1000</v>
      </c>
      <c r="D22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22" s="22">
        <v>33</v>
      </c>
      <c r="F22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3.3000000000000002E-2</v>
      </c>
      <c r="G22" s="21"/>
    </row>
    <row r="23" spans="1:7" ht="15.75">
      <c r="A23" s="21" t="s">
        <v>115</v>
      </c>
      <c r="B23" s="21">
        <v>1</v>
      </c>
      <c r="C23" s="21">
        <v>1000</v>
      </c>
      <c r="D23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23" s="22">
        <v>33</v>
      </c>
      <c r="F23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3.3000000000000002E-2</v>
      </c>
      <c r="G23" s="21"/>
    </row>
    <row r="24" spans="1:7" ht="15.75">
      <c r="A24" s="21" t="s">
        <v>116</v>
      </c>
      <c r="B24" s="21">
        <v>1</v>
      </c>
      <c r="C24" s="21">
        <v>1000</v>
      </c>
      <c r="D24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24" s="22">
        <v>33</v>
      </c>
      <c r="F24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3.3000000000000002E-2</v>
      </c>
      <c r="G24" s="21"/>
    </row>
    <row r="25" spans="1:7" ht="15.75">
      <c r="A25" s="21" t="s">
        <v>64</v>
      </c>
      <c r="B25" s="21">
        <v>1</v>
      </c>
      <c r="C25" s="21">
        <v>1000</v>
      </c>
      <c r="D25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25" s="22">
        <v>42</v>
      </c>
      <c r="F25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4.2000000000000003E-2</v>
      </c>
      <c r="G25" s="21"/>
    </row>
    <row r="26" spans="1:7" ht="15.75">
      <c r="A26" s="21" t="s">
        <v>92</v>
      </c>
      <c r="B26" s="21">
        <v>1</v>
      </c>
      <c r="C26" s="21">
        <v>500</v>
      </c>
      <c r="D26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500</v>
      </c>
      <c r="E26" s="22">
        <v>48</v>
      </c>
      <c r="F26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9.6000000000000002E-2</v>
      </c>
      <c r="G26" s="21"/>
    </row>
    <row r="27" spans="1:7" ht="15.75">
      <c r="A27" s="21" t="s">
        <v>117</v>
      </c>
      <c r="B27" s="21">
        <v>1</v>
      </c>
      <c r="C27" s="21">
        <v>700</v>
      </c>
      <c r="D27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700</v>
      </c>
      <c r="E27" s="22">
        <v>7.5</v>
      </c>
      <c r="F27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1.0714285714285714E-2</v>
      </c>
      <c r="G27" s="21"/>
    </row>
    <row r="28" spans="1:7" ht="15.75">
      <c r="A28" s="21" t="s">
        <v>87</v>
      </c>
      <c r="B28" s="21">
        <v>48</v>
      </c>
      <c r="C28" s="21">
        <v>350</v>
      </c>
      <c r="D28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16800</v>
      </c>
      <c r="E28" s="22">
        <v>127.2</v>
      </c>
      <c r="F28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7.5714285714285718E-3</v>
      </c>
      <c r="G28" s="21"/>
    </row>
    <row r="29" spans="1:7" ht="15.75">
      <c r="A29" s="21" t="s">
        <v>88</v>
      </c>
      <c r="B29" s="21">
        <v>48</v>
      </c>
      <c r="C29" s="21">
        <v>500</v>
      </c>
      <c r="D29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24000</v>
      </c>
      <c r="E29" s="22">
        <v>127.2</v>
      </c>
      <c r="F29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5.3E-3</v>
      </c>
      <c r="G29" s="21"/>
    </row>
    <row r="30" spans="1:7" ht="15.75">
      <c r="A30" s="21" t="s">
        <v>69</v>
      </c>
      <c r="B30" s="21">
        <v>1</v>
      </c>
      <c r="C30" s="21">
        <v>1000</v>
      </c>
      <c r="D30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30" s="22">
        <v>38.5</v>
      </c>
      <c r="F30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3.85E-2</v>
      </c>
      <c r="G30" s="21"/>
    </row>
    <row r="31" spans="1:7" ht="15.75">
      <c r="A31" s="21" t="s">
        <v>67</v>
      </c>
      <c r="B31" s="21">
        <v>1</v>
      </c>
      <c r="C31" s="21">
        <v>1000</v>
      </c>
      <c r="D31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31" s="22">
        <v>7.9</v>
      </c>
      <c r="F31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7.9000000000000008E-3</v>
      </c>
      <c r="G31" s="21"/>
    </row>
    <row r="32" spans="1:7" ht="15.75">
      <c r="A32" s="21" t="s">
        <v>118</v>
      </c>
      <c r="B32" s="21">
        <v>1</v>
      </c>
      <c r="C32" s="21">
        <v>32</v>
      </c>
      <c r="D32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32</v>
      </c>
      <c r="E32" s="22">
        <v>8.98</v>
      </c>
      <c r="F32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0.28062500000000001</v>
      </c>
      <c r="G32" s="21"/>
    </row>
    <row r="33" spans="1:7" ht="15.75">
      <c r="A33" s="21" t="s">
        <v>40</v>
      </c>
      <c r="B33" s="21">
        <v>1</v>
      </c>
      <c r="C33" s="21">
        <v>29</v>
      </c>
      <c r="D33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29</v>
      </c>
      <c r="E33" s="22">
        <v>17.850000000000001</v>
      </c>
      <c r="F33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0.61551724137931041</v>
      </c>
      <c r="G33" s="21"/>
    </row>
    <row r="34" spans="1:7" ht="15.75">
      <c r="A34" s="21" t="s">
        <v>44</v>
      </c>
      <c r="B34" s="21">
        <v>1</v>
      </c>
      <c r="C34" s="21">
        <v>750</v>
      </c>
      <c r="D34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750</v>
      </c>
      <c r="E34" s="22">
        <v>7.78</v>
      </c>
      <c r="F34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1.0373333333333333E-2</v>
      </c>
      <c r="G34" s="21"/>
    </row>
    <row r="35" spans="1:7" ht="15.75">
      <c r="A35" s="21" t="s">
        <v>71</v>
      </c>
      <c r="B35" s="21">
        <v>1</v>
      </c>
      <c r="C35" s="21">
        <v>1400</v>
      </c>
      <c r="D35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1400</v>
      </c>
      <c r="E35" s="22">
        <v>16.5</v>
      </c>
      <c r="F35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1.1785714285714287E-2</v>
      </c>
      <c r="G35" s="21"/>
    </row>
    <row r="36" spans="1:7" ht="15.75">
      <c r="A36" s="21" t="s">
        <v>72</v>
      </c>
      <c r="B36" s="21">
        <v>1</v>
      </c>
      <c r="C36" s="21">
        <v>1000</v>
      </c>
      <c r="D36" s="21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36" s="22">
        <v>18.600000000000001</v>
      </c>
      <c r="F36" s="21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1.8600000000000002E-2</v>
      </c>
      <c r="G36" s="21"/>
    </row>
    <row r="37" spans="1:7" ht="15.75">
      <c r="A37" s="21" t="s">
        <v>119</v>
      </c>
      <c r="B37" s="21">
        <v>1</v>
      </c>
      <c r="C37" s="21">
        <v>36</v>
      </c>
      <c r="D37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36</v>
      </c>
      <c r="E37" s="22">
        <v>6</v>
      </c>
      <c r="F37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0.16666666666666666</v>
      </c>
      <c r="G37" s="21"/>
    </row>
    <row r="38" spans="1:7" ht="15.75">
      <c r="A38" s="21" t="s">
        <v>120</v>
      </c>
      <c r="B38" s="21">
        <v>1</v>
      </c>
      <c r="C38" s="21">
        <v>1100</v>
      </c>
      <c r="D38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1100</v>
      </c>
      <c r="E38" s="22">
        <v>38.9</v>
      </c>
      <c r="F38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3.5363636363636361E-2</v>
      </c>
      <c r="G38" s="21"/>
    </row>
    <row r="39" spans="1:7" ht="15.75">
      <c r="A39" s="21" t="s">
        <v>121</v>
      </c>
      <c r="B39" s="21">
        <v>1</v>
      </c>
      <c r="C39" s="21">
        <v>454</v>
      </c>
      <c r="D39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454</v>
      </c>
      <c r="E39" s="22">
        <v>12.9</v>
      </c>
      <c r="F39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2.841409691629956E-2</v>
      </c>
      <c r="G39" s="21"/>
    </row>
    <row r="40" spans="1:7" ht="15.75">
      <c r="A40" s="21" t="s">
        <v>122</v>
      </c>
      <c r="B40" s="21">
        <v>1</v>
      </c>
      <c r="C40" s="21">
        <v>454</v>
      </c>
      <c r="D40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454</v>
      </c>
      <c r="E40" s="22">
        <v>12.9</v>
      </c>
      <c r="F40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2.841409691629956E-2</v>
      </c>
      <c r="G40" s="21"/>
    </row>
    <row r="41" spans="1:7" ht="15.75">
      <c r="A41" s="21" t="s">
        <v>123</v>
      </c>
      <c r="B41" s="21">
        <v>1</v>
      </c>
      <c r="C41" s="21">
        <v>1000</v>
      </c>
      <c r="D41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41" s="22">
        <v>27.9</v>
      </c>
      <c r="F41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2.7899999999999998E-2</v>
      </c>
      <c r="G41" s="21"/>
    </row>
    <row r="42" spans="1:7" ht="15.75">
      <c r="A42" s="21" t="s">
        <v>124</v>
      </c>
      <c r="B42" s="21">
        <v>1</v>
      </c>
      <c r="C42" s="21">
        <v>1000</v>
      </c>
      <c r="D42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42" s="22">
        <v>34.9</v>
      </c>
      <c r="F42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3.49E-2</v>
      </c>
      <c r="G42" s="21"/>
    </row>
    <row r="43" spans="1:7" ht="15.75">
      <c r="A43" s="21" t="s">
        <v>125</v>
      </c>
      <c r="B43" s="21">
        <v>1</v>
      </c>
      <c r="C43" s="21">
        <v>1000</v>
      </c>
      <c r="D43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43" s="22">
        <v>43.2</v>
      </c>
      <c r="F43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4.3200000000000002E-2</v>
      </c>
      <c r="G43" s="21"/>
    </row>
    <row r="44" spans="1:7" ht="15.75">
      <c r="A44" s="21" t="s">
        <v>126</v>
      </c>
      <c r="B44" s="21">
        <v>1</v>
      </c>
      <c r="C44" s="21">
        <v>400</v>
      </c>
      <c r="D44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400</v>
      </c>
      <c r="E44" s="22">
        <v>18.899999999999999</v>
      </c>
      <c r="F44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4.7249999999999993E-2</v>
      </c>
      <c r="G44" s="21"/>
    </row>
    <row r="45" spans="1:7" ht="15.75">
      <c r="A45" s="21" t="s">
        <v>127</v>
      </c>
      <c r="B45" s="21">
        <v>1</v>
      </c>
      <c r="C45" s="21">
        <v>1000</v>
      </c>
      <c r="D45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45" s="22">
        <v>71.900000000000006</v>
      </c>
      <c r="F45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7.1900000000000006E-2</v>
      </c>
      <c r="G45" s="21"/>
    </row>
    <row r="46" spans="1:7" ht="15.75">
      <c r="A46" s="21" t="s">
        <v>128</v>
      </c>
      <c r="B46" s="21">
        <v>1</v>
      </c>
      <c r="C46" s="21">
        <v>500</v>
      </c>
      <c r="D46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500</v>
      </c>
      <c r="E46" s="22">
        <v>26.5</v>
      </c>
      <c r="F46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5.2999999999999999E-2</v>
      </c>
      <c r="G46" s="21"/>
    </row>
    <row r="47" spans="1:7" ht="15.75">
      <c r="A47" s="21" t="s">
        <v>129</v>
      </c>
      <c r="B47" s="21">
        <v>1</v>
      </c>
      <c r="C47" s="21">
        <v>1000</v>
      </c>
      <c r="D47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47" s="22">
        <v>16.09</v>
      </c>
      <c r="F47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1.609E-2</v>
      </c>
      <c r="G47" s="21"/>
    </row>
    <row r="48" spans="1:7" ht="15.75">
      <c r="A48" s="21" t="s">
        <v>89</v>
      </c>
      <c r="B48" s="21">
        <v>1</v>
      </c>
      <c r="C48" s="21">
        <v>1000</v>
      </c>
      <c r="D48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48" s="22">
        <v>17.5</v>
      </c>
      <c r="F48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1.7500000000000002E-2</v>
      </c>
      <c r="G48" s="21"/>
    </row>
    <row r="49" spans="1:7" ht="15.75">
      <c r="A49" s="21" t="s">
        <v>90</v>
      </c>
      <c r="B49" s="21">
        <v>1</v>
      </c>
      <c r="C49" s="21">
        <v>5000</v>
      </c>
      <c r="D49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5000</v>
      </c>
      <c r="E49" s="22">
        <v>30.9</v>
      </c>
      <c r="F49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6.1799999999999997E-3</v>
      </c>
      <c r="G49" s="21"/>
    </row>
    <row r="50" spans="1:7" ht="15.75">
      <c r="A50" s="21" t="s">
        <v>91</v>
      </c>
      <c r="B50" s="21">
        <v>1</v>
      </c>
      <c r="C50" s="21">
        <v>30</v>
      </c>
      <c r="D50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30</v>
      </c>
      <c r="E50" s="22">
        <v>12</v>
      </c>
      <c r="F50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0.4</v>
      </c>
      <c r="G50" s="21"/>
    </row>
    <row r="51" spans="1:7" ht="15.75">
      <c r="A51" s="21" t="s">
        <v>130</v>
      </c>
      <c r="B51" s="21">
        <v>1</v>
      </c>
      <c r="C51" s="21">
        <v>46</v>
      </c>
      <c r="D51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46</v>
      </c>
      <c r="E51" s="22">
        <v>17.5</v>
      </c>
      <c r="F51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0.38043478260869568</v>
      </c>
      <c r="G51" s="21"/>
    </row>
    <row r="52" spans="1:7" ht="15.75">
      <c r="A52" s="21" t="s">
        <v>46</v>
      </c>
      <c r="B52" s="21">
        <v>1</v>
      </c>
      <c r="C52" s="21">
        <v>1</v>
      </c>
      <c r="D52" s="49">
        <v>700</v>
      </c>
      <c r="E52" s="22">
        <v>10.99</v>
      </c>
      <c r="F52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1.5699999999999999E-2</v>
      </c>
      <c r="G52" s="21"/>
    </row>
    <row r="53" spans="1:7" ht="15.75">
      <c r="A53" s="21" t="s">
        <v>47</v>
      </c>
      <c r="B53" s="21">
        <v>1</v>
      </c>
      <c r="C53" s="21">
        <v>1</v>
      </c>
      <c r="D53" s="49">
        <v>74</v>
      </c>
      <c r="E53" s="22">
        <v>16.625</v>
      </c>
      <c r="F53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0.22466216216216217</v>
      </c>
      <c r="G53" s="21"/>
    </row>
    <row r="54" spans="1:7" ht="15.75">
      <c r="A54" s="21" t="s">
        <v>93</v>
      </c>
      <c r="B54" s="21">
        <v>1</v>
      </c>
      <c r="C54" s="21">
        <v>1000</v>
      </c>
      <c r="D54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54" s="22">
        <v>59</v>
      </c>
      <c r="F54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5.8999999999999997E-2</v>
      </c>
      <c r="G54" s="21"/>
    </row>
    <row r="55" spans="1:7" ht="15.75">
      <c r="A55" s="21" t="s">
        <v>97</v>
      </c>
      <c r="B55" s="21">
        <v>1</v>
      </c>
      <c r="C55" s="21">
        <v>1000</v>
      </c>
      <c r="D55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55" s="22">
        <v>6.49</v>
      </c>
      <c r="F55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6.4900000000000001E-3</v>
      </c>
      <c r="G55" s="21"/>
    </row>
    <row r="56" spans="1:7" ht="15.75">
      <c r="A56" s="21" t="s">
        <v>96</v>
      </c>
      <c r="B56" s="21">
        <v>1</v>
      </c>
      <c r="C56" s="21">
        <v>1000</v>
      </c>
      <c r="D56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56" s="22">
        <v>31.25</v>
      </c>
      <c r="F56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3.125E-2</v>
      </c>
      <c r="G56" s="21"/>
    </row>
    <row r="57" spans="1:7" ht="15.75">
      <c r="A57" s="21" t="s">
        <v>131</v>
      </c>
      <c r="B57" s="21">
        <v>1</v>
      </c>
      <c r="C57" s="21">
        <v>30</v>
      </c>
      <c r="D57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30</v>
      </c>
      <c r="E57" s="22">
        <v>14.5</v>
      </c>
      <c r="F57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0.48333333333333334</v>
      </c>
      <c r="G57" s="21"/>
    </row>
    <row r="58" spans="1:7" ht="15.75">
      <c r="A58" s="21" t="s">
        <v>132</v>
      </c>
      <c r="B58" s="21">
        <v>1</v>
      </c>
      <c r="C58" s="21">
        <v>5</v>
      </c>
      <c r="D58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5</v>
      </c>
      <c r="E58" s="22">
        <v>22.9</v>
      </c>
      <c r="F58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4.58</v>
      </c>
      <c r="G58" s="21"/>
    </row>
    <row r="59" spans="1:7" ht="15.75">
      <c r="A59" s="21" t="s">
        <v>133</v>
      </c>
      <c r="B59" s="21">
        <v>1</v>
      </c>
      <c r="C59" s="21">
        <v>1</v>
      </c>
      <c r="D59" s="49">
        <v>1</v>
      </c>
      <c r="E59" s="22">
        <v>1.35</v>
      </c>
      <c r="F59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1.35</v>
      </c>
      <c r="G59" s="21"/>
    </row>
    <row r="60" spans="1:7" ht="15.75">
      <c r="A60" s="21" t="s">
        <v>134</v>
      </c>
      <c r="B60" s="21">
        <v>1</v>
      </c>
      <c r="C60" s="21">
        <v>1000</v>
      </c>
      <c r="D60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60" s="22">
        <v>10.6</v>
      </c>
      <c r="F60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1.06E-2</v>
      </c>
      <c r="G60" s="21"/>
    </row>
    <row r="61" spans="1:7" ht="15.75">
      <c r="A61" s="21" t="s">
        <v>135</v>
      </c>
      <c r="B61" s="21">
        <v>1</v>
      </c>
      <c r="C61" s="21">
        <v>2000</v>
      </c>
      <c r="D61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2000</v>
      </c>
      <c r="E61" s="22">
        <v>34.700000000000003</v>
      </c>
      <c r="F61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1.7350000000000001E-2</v>
      </c>
      <c r="G61" s="21"/>
    </row>
    <row r="62" spans="1:7" ht="15.75">
      <c r="A62" s="21" t="s">
        <v>136</v>
      </c>
      <c r="B62" s="21">
        <v>1</v>
      </c>
      <c r="C62" s="21">
        <v>1000</v>
      </c>
      <c r="D62" s="49">
        <f>IF(AND(IngredientTable[[#This Row],[Name]]&lt;&gt;"",IngredientTable[[#This Row],[Batch Size]]&lt;&gt;"",IngredientTable[[#This Row],[Units Per Batch ]]&lt;&gt;""&lt;&gt;""),IngredientTable[[#This Row],[Units Per Batch ]]*IngredientTable[[#This Row],[Batch Size]],"")</f>
        <v>1000</v>
      </c>
      <c r="E62" s="22">
        <v>11.1</v>
      </c>
      <c r="F62" s="49">
        <f>IF(AND(IngredientTable[[#This Row],[Name]]&lt;&gt;"",IngredientTable[[#This Row],[Batch Size]]&lt;&gt;"",IngredientTable[[#This Row],[Units Per Batch ]]&lt;&gt;"",IngredientTable[[#This Row],[Cost Per Batch (RM)]]&lt;&gt;""),IngredientTable[[#This Row],[Cost Per Batch (RM)]]/(IngredientTable[[#This Row],[Total Units]]),"")</f>
        <v>1.11E-2</v>
      </c>
      <c r="G62" s="2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DB63-E96E-3449-9999-55E0CC539FEB}">
  <sheetPr>
    <tabColor theme="6"/>
  </sheetPr>
  <dimension ref="A1:F26"/>
  <sheetViews>
    <sheetView topLeftCell="B1" workbookViewId="0">
      <selection activeCell="E21" sqref="E21"/>
    </sheetView>
  </sheetViews>
  <sheetFormatPr defaultColWidth="11" defaultRowHeight="16.5"/>
  <cols>
    <col min="1" max="1" width="21.125" bestFit="1" customWidth="1"/>
    <col min="2" max="2" width="12.125" bestFit="1" customWidth="1"/>
    <col min="3" max="3" width="16.375" bestFit="1" customWidth="1"/>
    <col min="4" max="4" width="12.125" customWidth="1"/>
    <col min="5" max="5" width="15.875" customWidth="1"/>
    <col min="6" max="6" width="14.375" customWidth="1"/>
  </cols>
  <sheetData>
    <row r="1" spans="1:6">
      <c r="A1" s="48" t="s">
        <v>137</v>
      </c>
    </row>
    <row r="3" spans="1:6">
      <c r="A3" s="10" t="s">
        <v>7</v>
      </c>
      <c r="B3" s="14" t="s">
        <v>101</v>
      </c>
      <c r="C3" s="9" t="s">
        <v>138</v>
      </c>
      <c r="D3" s="42" t="s">
        <v>57</v>
      </c>
      <c r="E3" s="15" t="s">
        <v>139</v>
      </c>
      <c r="F3" s="1" t="s">
        <v>140</v>
      </c>
    </row>
    <row r="4" spans="1:6">
      <c r="A4" s="19" t="s">
        <v>141</v>
      </c>
      <c r="B4" s="19">
        <v>1</v>
      </c>
      <c r="C4" s="20">
        <v>5000</v>
      </c>
      <c r="D4" s="20">
        <f>IF(PackagingTable[[#This Row],[Name]]&lt;&gt;"",PackagingTable[[#This Row],[Batch Size]]*PackagingTable[[#This Row],[Units Per Batch]],"")</f>
        <v>5000</v>
      </c>
      <c r="E4" s="20">
        <v>2011.2</v>
      </c>
      <c r="F4" s="19">
        <f>IF(PackagingTable[[#This Row],[Name]]&lt;&gt;"",PackagingTable[[#This Row],[Cost Per Batch]]/PackagingTable[[#This Row],[Total Units]],"")</f>
        <v>0.40223999999999999</v>
      </c>
    </row>
    <row r="5" spans="1:6">
      <c r="A5" s="19" t="s">
        <v>142</v>
      </c>
      <c r="B5" s="19">
        <v>4</v>
      </c>
      <c r="C5" s="19">
        <v>2500</v>
      </c>
      <c r="D5" s="20">
        <f>IF(PackagingTable[[#This Row],[Name]]&lt;&gt;"",PackagingTable[[#This Row],[Batch Size]]*PackagingTable[[#This Row],[Units Per Batch]],"")</f>
        <v>10000</v>
      </c>
      <c r="E5" s="20">
        <v>1880.95</v>
      </c>
      <c r="F5" s="19">
        <f>IF(PackagingTable[[#This Row],[Name]]&lt;&gt;"",PackagingTable[[#This Row],[Cost Per Batch]]/PackagingTable[[#This Row],[Total Units]],"")</f>
        <v>0.18809500000000001</v>
      </c>
    </row>
    <row r="6" spans="1:6">
      <c r="A6" s="19" t="s">
        <v>143</v>
      </c>
      <c r="B6" s="19">
        <v>1</v>
      </c>
      <c r="C6" s="19">
        <v>100</v>
      </c>
      <c r="D6" s="20">
        <f>IF(PackagingTable[[#This Row],[Name]]&lt;&gt;"",PackagingTable[[#This Row],[Batch Size]]*PackagingTable[[#This Row],[Units Per Batch]],"")</f>
        <v>100</v>
      </c>
      <c r="E6" s="19">
        <v>24</v>
      </c>
      <c r="F6" s="19">
        <f>IF(PackagingTable[[#This Row],[Name]]&lt;&gt;"",PackagingTable[[#This Row],[Cost Per Batch]]/PackagingTable[[#This Row],[Total Units]],"")</f>
        <v>0.24</v>
      </c>
    </row>
    <row r="7" spans="1:6">
      <c r="A7" s="19" t="s">
        <v>144</v>
      </c>
      <c r="B7" s="19">
        <v>1</v>
      </c>
      <c r="C7" s="19">
        <v>100</v>
      </c>
      <c r="D7" s="20">
        <f>IF(PackagingTable[[#This Row],[Name]]&lt;&gt;"",PackagingTable[[#This Row],[Batch Size]]*PackagingTable[[#This Row],[Units Per Batch]],"")</f>
        <v>100</v>
      </c>
      <c r="E7" s="19">
        <v>4.34</v>
      </c>
      <c r="F7" s="19">
        <f>IF(PackagingTable[[#This Row],[Name]]&lt;&gt;"",PackagingTable[[#This Row],[Cost Per Batch]]/PackagingTable[[#This Row],[Total Units]],"")</f>
        <v>4.3400000000000001E-2</v>
      </c>
    </row>
    <row r="8" spans="1:6">
      <c r="A8" s="19" t="s">
        <v>145</v>
      </c>
      <c r="B8" s="19">
        <v>1</v>
      </c>
      <c r="C8" s="19">
        <v>100</v>
      </c>
      <c r="D8" s="20">
        <f>IF(PackagingTable[[#This Row],[Name]]&lt;&gt;"",PackagingTable[[#This Row],[Batch Size]]*PackagingTable[[#This Row],[Units Per Batch]],"")</f>
        <v>100</v>
      </c>
      <c r="E8" s="19">
        <v>2.8</v>
      </c>
      <c r="F8" s="19">
        <f>IF(PackagingTable[[#This Row],[Name]]&lt;&gt;"",PackagingTable[[#This Row],[Cost Per Batch]]/PackagingTable[[#This Row],[Total Units]],"")</f>
        <v>2.7999999999999997E-2</v>
      </c>
    </row>
    <row r="9" spans="1:6">
      <c r="A9" s="19" t="s">
        <v>146</v>
      </c>
      <c r="B9" s="19">
        <v>1</v>
      </c>
      <c r="C9" s="19">
        <v>100</v>
      </c>
      <c r="D9" s="20">
        <f>IF(PackagingTable[[#This Row],[Name]]&lt;&gt;"",PackagingTable[[#This Row],[Batch Size]]*PackagingTable[[#This Row],[Units Per Batch]],"")</f>
        <v>100</v>
      </c>
      <c r="E9" s="19">
        <v>8.9</v>
      </c>
      <c r="F9" s="19">
        <f>IF(PackagingTable[[#This Row],[Name]]&lt;&gt;"",PackagingTable[[#This Row],[Cost Per Batch]]/PackagingTable[[#This Row],[Total Units]],"")</f>
        <v>8.900000000000001E-2</v>
      </c>
    </row>
    <row r="10" spans="1:6">
      <c r="A10" s="19" t="s">
        <v>147</v>
      </c>
      <c r="B10" s="19">
        <v>1</v>
      </c>
      <c r="C10" s="19">
        <v>100</v>
      </c>
      <c r="D10" s="20">
        <f>IF(PackagingTable[[#This Row],[Name]]&lt;&gt;"",PackagingTable[[#This Row],[Batch Size]]*PackagingTable[[#This Row],[Units Per Batch]],"")</f>
        <v>100</v>
      </c>
      <c r="E10" s="19">
        <v>17.8</v>
      </c>
      <c r="F10" s="19">
        <f>IF(PackagingTable[[#This Row],[Name]]&lt;&gt;"",PackagingTable[[#This Row],[Cost Per Batch]]/PackagingTable[[#This Row],[Total Units]],"")</f>
        <v>0.17800000000000002</v>
      </c>
    </row>
    <row r="11" spans="1:6">
      <c r="A11" s="19" t="s">
        <v>148</v>
      </c>
      <c r="B11" s="19">
        <v>1</v>
      </c>
      <c r="C11" s="19">
        <v>50</v>
      </c>
      <c r="D11" s="20">
        <f>IF(PackagingTable[[#This Row],[Name]]&lt;&gt;"",PackagingTable[[#This Row],[Batch Size]]*PackagingTable[[#This Row],[Units Per Batch]],"")</f>
        <v>50</v>
      </c>
      <c r="E11" s="19"/>
      <c r="F11" s="50">
        <f>IF(PackagingTable[[#This Row],[Name]]&lt;&gt;"",PackagingTable[[#This Row],[Cost Per Batch]]/PackagingTable[[#This Row],[Total Units]],"")</f>
        <v>0</v>
      </c>
    </row>
    <row r="12" spans="1:6">
      <c r="A12" s="19" t="s">
        <v>149</v>
      </c>
      <c r="B12" s="19">
        <v>1</v>
      </c>
      <c r="C12" s="19">
        <v>50</v>
      </c>
      <c r="D12" s="20">
        <f>IF(PackagingTable[[#This Row],[Name]]&lt;&gt;"",PackagingTable[[#This Row],[Batch Size]]*PackagingTable[[#This Row],[Units Per Batch]],"")</f>
        <v>50</v>
      </c>
      <c r="E12" s="19">
        <v>9.9</v>
      </c>
      <c r="F12" s="19">
        <f>IF(PackagingTable[[#This Row],[Name]]&lt;&gt;"",PackagingTable[[#This Row],[Cost Per Batch]]/PackagingTable[[#This Row],[Total Units]],"")</f>
        <v>0.19800000000000001</v>
      </c>
    </row>
    <row r="13" spans="1:6">
      <c r="A13" s="19" t="s">
        <v>150</v>
      </c>
      <c r="B13" s="19">
        <v>1</v>
      </c>
      <c r="C13" s="19">
        <v>50</v>
      </c>
      <c r="D13" s="20">
        <f>IF(PackagingTable[[#This Row],[Name]]&lt;&gt;"",PackagingTable[[#This Row],[Batch Size]]*PackagingTable[[#This Row],[Units Per Batch]],"")</f>
        <v>50</v>
      </c>
      <c r="E13" s="19">
        <v>5.5</v>
      </c>
      <c r="F13" s="50">
        <f>IF(PackagingTable[[#This Row],[Name]]&lt;&gt;"",PackagingTable[[#This Row],[Cost Per Batch]]/PackagingTable[[#This Row],[Total Units]],"")</f>
        <v>0.11</v>
      </c>
    </row>
    <row r="14" spans="1:6">
      <c r="A14" s="19" t="s">
        <v>151</v>
      </c>
      <c r="B14" s="19">
        <v>1</v>
      </c>
      <c r="C14" s="19">
        <v>100</v>
      </c>
      <c r="D14" s="20">
        <f>IF(PackagingTable[[#This Row],[Name]]&lt;&gt;"",PackagingTable[[#This Row],[Batch Size]]*PackagingTable[[#This Row],[Units Per Batch]],"")</f>
        <v>100</v>
      </c>
      <c r="E14" s="19">
        <v>3.2</v>
      </c>
      <c r="F14" s="50">
        <f>IF(PackagingTable[[#This Row],[Name]]&lt;&gt;"",PackagingTable[[#This Row],[Cost Per Batch]]/PackagingTable[[#This Row],[Total Units]],"")</f>
        <v>3.2000000000000001E-2</v>
      </c>
    </row>
    <row r="15" spans="1:6">
      <c r="A15" s="19" t="s">
        <v>152</v>
      </c>
      <c r="B15" s="19">
        <v>1</v>
      </c>
      <c r="C15" s="19">
        <v>100</v>
      </c>
      <c r="D15" s="20">
        <f>IF(PackagingTable[[#This Row],[Name]]&lt;&gt;"",PackagingTable[[#This Row],[Batch Size]]*PackagingTable[[#This Row],[Units Per Batch]],"")</f>
        <v>100</v>
      </c>
      <c r="E15" s="19">
        <v>6.9</v>
      </c>
      <c r="F15" s="50">
        <f>IF(PackagingTable[[#This Row],[Name]]&lt;&gt;"",PackagingTable[[#This Row],[Cost Per Batch]]/PackagingTable[[#This Row],[Total Units]],"")</f>
        <v>6.9000000000000006E-2</v>
      </c>
    </row>
    <row r="16" spans="1:6">
      <c r="A16" s="19" t="s">
        <v>153</v>
      </c>
      <c r="B16" s="19">
        <v>1</v>
      </c>
      <c r="C16" s="19">
        <v>20</v>
      </c>
      <c r="D16" s="20">
        <f>IF(PackagingTable[[#This Row],[Name]]&lt;&gt;"",PackagingTable[[#This Row],[Batch Size]]*PackagingTable[[#This Row],[Units Per Batch]],"")</f>
        <v>20</v>
      </c>
      <c r="E16" s="19">
        <v>2.5</v>
      </c>
      <c r="F16" s="50">
        <f>IF(PackagingTable[[#This Row],[Name]]&lt;&gt;"",PackagingTable[[#This Row],[Cost Per Batch]]/PackagingTable[[#This Row],[Total Units]],"")</f>
        <v>0.125</v>
      </c>
    </row>
    <row r="17" spans="1:6">
      <c r="A17" s="19" t="s">
        <v>154</v>
      </c>
      <c r="B17" s="19">
        <v>1</v>
      </c>
      <c r="C17" s="19">
        <v>50</v>
      </c>
      <c r="D17" s="20">
        <f>IF(PackagingTable[[#This Row],[Name]]&lt;&gt;"",PackagingTable[[#This Row],[Batch Size]]*PackagingTable[[#This Row],[Units Per Batch]],"")</f>
        <v>50</v>
      </c>
      <c r="E17" s="19">
        <v>8</v>
      </c>
      <c r="F17" s="50">
        <f>IF(PackagingTable[[#This Row],[Name]]&lt;&gt;"",PackagingTable[[#This Row],[Cost Per Batch]]/PackagingTable[[#This Row],[Total Units]],"")</f>
        <v>0.16</v>
      </c>
    </row>
    <row r="18" spans="1:6">
      <c r="A18" s="19" t="s">
        <v>155</v>
      </c>
      <c r="B18" s="19">
        <v>1</v>
      </c>
      <c r="C18" s="19">
        <v>100</v>
      </c>
      <c r="D18" s="20">
        <f>IF(PackagingTable[[#This Row],[Name]]&lt;&gt;"",PackagingTable[[#This Row],[Batch Size]]*PackagingTable[[#This Row],[Units Per Batch]],"")</f>
        <v>100</v>
      </c>
      <c r="E18" s="19">
        <v>4.5</v>
      </c>
      <c r="F18" s="50">
        <f>IF(PackagingTable[[#This Row],[Name]]&lt;&gt;"",PackagingTable[[#This Row],[Cost Per Batch]]/PackagingTable[[#This Row],[Total Units]],"")</f>
        <v>4.4999999999999998E-2</v>
      </c>
    </row>
    <row r="19" spans="1:6">
      <c r="A19" s="19" t="s">
        <v>156</v>
      </c>
      <c r="B19" s="19">
        <v>1</v>
      </c>
      <c r="C19" s="19">
        <v>50</v>
      </c>
      <c r="D19" s="20">
        <f>IF(PackagingTable[[#This Row],[Name]]&lt;&gt;"",PackagingTable[[#This Row],[Batch Size]]*PackagingTable[[#This Row],[Units Per Batch]],"")</f>
        <v>50</v>
      </c>
      <c r="E19" s="19">
        <v>9.9</v>
      </c>
      <c r="F19" s="50">
        <f>IF(PackagingTable[[#This Row],[Name]]&lt;&gt;"",PackagingTable[[#This Row],[Cost Per Batch]]/PackagingTable[[#This Row],[Total Units]],"")</f>
        <v>0.19800000000000001</v>
      </c>
    </row>
    <row r="20" spans="1:6">
      <c r="A20" s="19" t="s">
        <v>157</v>
      </c>
      <c r="B20" s="19">
        <v>1</v>
      </c>
      <c r="C20" s="19">
        <v>50</v>
      </c>
      <c r="D20" s="20">
        <v>50</v>
      </c>
      <c r="E20" s="19">
        <v>15.95</v>
      </c>
      <c r="F20" s="50">
        <f>IF(PackagingTable[[#This Row],[Name]]&lt;&gt;"",PackagingTable[[#This Row],[Cost Per Batch]]/PackagingTable[[#This Row],[Total Units]],"")</f>
        <v>0.31900000000000001</v>
      </c>
    </row>
    <row r="21" spans="1:6">
      <c r="A21" s="19"/>
      <c r="B21" s="19"/>
      <c r="C21" s="19"/>
      <c r="D21" s="19"/>
      <c r="E21" s="19"/>
      <c r="F21" s="19"/>
    </row>
    <row r="22" spans="1:6">
      <c r="A22" s="19"/>
      <c r="B22" s="19"/>
      <c r="C22" s="21"/>
      <c r="D22" s="21"/>
      <c r="E22" s="19"/>
      <c r="F22" s="19"/>
    </row>
    <row r="23" spans="1:6">
      <c r="A23" s="19"/>
      <c r="B23" s="19"/>
      <c r="C23" s="19"/>
      <c r="D23" s="19"/>
      <c r="E23" s="19"/>
      <c r="F23" s="19"/>
    </row>
    <row r="24" spans="1:6">
      <c r="A24" s="19"/>
      <c r="B24" s="19"/>
      <c r="C24" s="19"/>
      <c r="D24" s="19"/>
      <c r="E24" s="19"/>
      <c r="F24" s="19"/>
    </row>
    <row r="25" spans="1:6">
      <c r="A25" s="19"/>
      <c r="B25" s="19"/>
      <c r="C25" s="19"/>
      <c r="D25" s="19"/>
      <c r="E25" s="19"/>
      <c r="F25" s="19"/>
    </row>
    <row r="26" spans="1:6">
      <c r="A26" s="19"/>
      <c r="B26" s="19"/>
      <c r="C26" s="19"/>
      <c r="D26" s="19"/>
      <c r="E26" s="19"/>
      <c r="F26" s="19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35394-EE64-2D4E-B8A6-F890A0C9EBFF}">
  <sheetPr>
    <tabColor theme="6" tint="0.39997558519241921"/>
  </sheetPr>
  <dimension ref="A1:D25"/>
  <sheetViews>
    <sheetView workbookViewId="0">
      <selection activeCell="B18" sqref="B18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1" t="s">
        <v>13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7.9</v>
      </c>
      <c r="B6" s="38">
        <f ca="1">SUM(Table1[[#Totals],[Total Cost (RM)]]+Table4[[#Totals],[Total Cost (RM)]]+Table114[[#Totals],[Total Cost (RM)]])</f>
        <v>1.8627452631578945</v>
      </c>
      <c r="C6" s="39">
        <f ca="1">A6-B6</f>
        <v>6.0372547368421063</v>
      </c>
      <c r="D6" s="40">
        <f ca="1">(C6/A6)*100</f>
        <v>76.420946035976016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IF(A10&lt;&gt;"",VLOOKUP(Table114[[#This Row],[Name]], MixedIngredientTable[], 4, FALSE),"")</f>
        <v>5.5789473684210522E-3</v>
      </c>
      <c r="D10" s="13">
        <f ca="1">IF(Table114[[#This Row],[Name]]&lt;&gt;"",Table114[[#This Row],[Quantity]]*Table114[[#This Row],[Cost Per Unit (RM)]],"")</f>
        <v>0.50210526315789472</v>
      </c>
    </row>
    <row r="11" spans="1:4">
      <c r="C11" s="13" t="str">
        <f>IF(A11&lt;&gt;"",VLOOKUP(Table114[[#This Row],[Name]], MixedIngredientTable[], 4, FALSE),"")</f>
        <v/>
      </c>
      <c r="D11" s="13" t="str">
        <f>IF(Table114[[#This Row],[Name]]&lt;&gt;"",Table114[[#This Row],[Quantity]]*Table114[[#This Row],[Cost Per Unit (RM)]],"")</f>
        <v/>
      </c>
    </row>
    <row r="12" spans="1:4">
      <c r="D12" s="13">
        <f ca="1">SUM(Table114[Total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IF(A16&lt;&gt;"",VLOOKUP(Table1[[#This Row],[Name]], IngredientTable[], 6, FALSE),"")</f>
        <v>4.4999999999999997E-3</v>
      </c>
      <c r="D16">
        <f>IF(Table1[[#This Row],[Name]]&lt;&gt;"",Table1[[#This Row],[Quantity]]*Table1[[#This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IF(A17&lt;&gt;"",VLOOKUP(Table1[[#This Row],[Name]], IngredientTable[], 6, FALSE),"")</f>
        <v>4.5000000000000005E-3</v>
      </c>
      <c r="D17">
        <f>IF(Table1[[#This Row],[Name]]&lt;&gt;"",Table1[[#This Row],[Quantity]]*Table1[[#This Row],[Cost Per Unit (RM)]],"")</f>
        <v>0.18000000000000002</v>
      </c>
    </row>
    <row r="18" spans="1:4">
      <c r="C18" t="str">
        <f>IF(A18&lt;&gt;"",VLOOKUP(Table1[[#This Row],[Name]], IngredientTable[], 6, FALSE),"")</f>
        <v/>
      </c>
      <c r="D18" t="str">
        <f>IF(Table1[[#This Row],[Name]]&lt;&gt;"",Table1[[#This Row],[Quantity]]*Table1[[#This Row],[Cost Per Unit (RM)]],"")</f>
        <v/>
      </c>
    </row>
    <row r="19" spans="1:4">
      <c r="D19" s="13">
        <f>SUM(Table1[Total Cost (RM)])</f>
        <v>0.67499999999999993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IF(A22&lt;&gt;"",VLOOKUP(Table4[[#This Row],[Name]], PackagingTable[], 6, FALSE),"")</f>
        <v>0.24</v>
      </c>
      <c r="D22" s="18">
        <f>IF(Table4[[#This Row],[Name]]&lt;&gt;"",Table4[[#This Row],[Quantity]]*Table4[[#This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IF(A23&lt;&gt;"",VLOOKUP(Table4[[#This Row],[Name]], PackagingTable[], 6, FALSE),"")</f>
        <v>0.40223999999999999</v>
      </c>
      <c r="D23" s="18">
        <f>IF(Table4[[#This Row],[Name]]&lt;&gt;"",Table4[[#This Row],[Quantity]]*Table4[[#This Row],[Cost Per Unit (RM)]],"")</f>
        <v>0.40223999999999999</v>
      </c>
    </row>
    <row r="24" spans="1:4">
      <c r="A24" s="17" t="s">
        <v>144</v>
      </c>
      <c r="B24" s="18">
        <v>1</v>
      </c>
      <c r="C24" s="18">
        <f>IF(A24&lt;&gt;"",VLOOKUP(Table4[[#This Row],[Name]], PackagingTable[], 6, FALSE),"")</f>
        <v>4.3400000000000001E-2</v>
      </c>
      <c r="D24" s="18">
        <f>IF(Table4[[#This Row],[Name]]&lt;&gt;"",Table4[[#This Row],[Quantity]]*Table4[[#This Row],[Cost Per Unit (RM)]],"")</f>
        <v>4.3400000000000001E-2</v>
      </c>
    </row>
    <row r="25" spans="1:4">
      <c r="B25" s="13"/>
      <c r="C25" s="13"/>
      <c r="D25" s="13">
        <f>SUM(Table4[Total Cost (RM)])</f>
        <v>0.68563999999999992</v>
      </c>
    </row>
  </sheetData>
  <dataValidations count="3">
    <dataValidation type="list" allowBlank="1" showInputMessage="1" showErrorMessage="1" sqref="A10:A11" xr:uid="{D421050B-9DFF-B54C-AA2B-9413F7D3B352}">
      <formula1>INDIRECT("MixedIngredientTable[Name]")</formula1>
    </dataValidation>
    <dataValidation type="list" allowBlank="1" showInputMessage="1" showErrorMessage="1" sqref="A16:A18" xr:uid="{75FC0984-CAB4-F248-95AF-94C30EBCD304}">
      <formula1>INDIRECT("IngredientTable[Name]")</formula1>
    </dataValidation>
    <dataValidation type="list" allowBlank="1" showInputMessage="1" showErrorMessage="1" sqref="A22:A24" xr:uid="{EC864450-A1F0-4141-8D67-371C516DA71D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BCEF-BF86-4C4D-8380-786F4A8E430E}">
  <sheetPr>
    <tabColor theme="6" tint="0.39997558519241921"/>
  </sheetPr>
  <dimension ref="A1:D25"/>
  <sheetViews>
    <sheetView workbookViewId="0">
      <selection activeCell="B25" sqref="B25"/>
    </sheetView>
  </sheetViews>
  <sheetFormatPr defaultColWidth="11" defaultRowHeight="16.5"/>
  <cols>
    <col min="1" max="1" width="20.87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1" t="s">
        <v>15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10.9</v>
      </c>
      <c r="B6" s="38">
        <f ca="1">SUM(Table117[[#Totals],[Total Cost (RM)]]+Table418[[#Totals],[Total Cost (RM)]]+Table11419[[#Totals],[Total Cost (RM)]])</f>
        <v>2.3577452631578946</v>
      </c>
      <c r="C6" s="39">
        <f ca="1">A6-B6</f>
        <v>8.5422547368421053</v>
      </c>
      <c r="D6" s="40">
        <f ca="1">(C6/A6)*100</f>
        <v>78.369309512312896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IF(A10&lt;&gt;"",VLOOKUP(Table11419[[#This Row],[Name]], MixedIngredientTable[], 4, FALSE),"")</f>
        <v>5.5789473684210522E-3</v>
      </c>
      <c r="D10" s="13">
        <f ca="1">IF(Table11419[[#This Row],[Name]]&lt;&gt;"",Table11419[[#This Row],[Quantity]]*Table11419[[#This Row],[Cost Per Unit (RM)]],"")</f>
        <v>0.50210526315789472</v>
      </c>
    </row>
    <row r="11" spans="1:4">
      <c r="C11" s="13" t="str">
        <f>IF(A11&lt;&gt;"",VLOOKUP(Table11419[[#This Row],[Name]], MixedIngredientTable[], 4, FALSE),"")</f>
        <v/>
      </c>
      <c r="D11" s="13" t="str">
        <f>IF(Table11419[[#This Row],[Name]]&lt;&gt;"",Table11419[[#This Row],[Quantity]]*Table11419[[#This Row],[Cost Per Unit (RM)]],"")</f>
        <v/>
      </c>
    </row>
    <row r="12" spans="1:4">
      <c r="D12" s="13">
        <f ca="1">SUM(Table11419[Total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IF(A16&lt;&gt;"",VLOOKUP(Table117[[#This Row],[Name]], IngredientTable[], 6, FALSE),"")</f>
        <v>4.4999999999999997E-3</v>
      </c>
      <c r="D16">
        <f>IF(Table117[[#This Row],[Name]]&lt;&gt;"",Table117[[#This Row],[Quantity]]*Table117[[#This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IF(A17&lt;&gt;"",VLOOKUP(Table117[[#This Row],[Name]], IngredientTable[], 6, FALSE),"")</f>
        <v>4.5000000000000005E-3</v>
      </c>
      <c r="D17">
        <f>IF(Table117[[#This Row],[Name]]&lt;&gt;"",Table117[[#This Row],[Quantity]]*Table117[[#This Row],[Cost Per Unit (RM)]],"")</f>
        <v>0.18000000000000002</v>
      </c>
    </row>
    <row r="18" spans="1:4">
      <c r="A18" t="s">
        <v>114</v>
      </c>
      <c r="B18">
        <v>15</v>
      </c>
      <c r="C18">
        <f>IF(A18&lt;&gt;"",VLOOKUP(Table117[[#This Row],[Name]], IngredientTable[], 6, FALSE),"")</f>
        <v>3.3000000000000002E-2</v>
      </c>
      <c r="D18">
        <f>IF(Table117[[#This Row],[Name]]&lt;&gt;"",Table117[[#This Row],[Quantity]]*Table117[[#This Row],[Cost Per Unit (RM)]],"")</f>
        <v>0.495</v>
      </c>
    </row>
    <row r="19" spans="1:4">
      <c r="D19" s="13">
        <f>SUM(Table117[Total Cost (RM)])</f>
        <v>1.17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IF(A22&lt;&gt;"",VLOOKUP(Table418[[#This Row],[Name]], PackagingTable[], 6, FALSE),"")</f>
        <v>0.24</v>
      </c>
      <c r="D22" s="18">
        <f>IF(Table418[[#This Row],[Name]]&lt;&gt;"",Table418[[#This Row],[Quantity]]*Table418[[#This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IF(A23&lt;&gt;"",VLOOKUP(Table418[[#This Row],[Name]], PackagingTable[], 6, FALSE),"")</f>
        <v>0.40223999999999999</v>
      </c>
      <c r="D23" s="18">
        <f>IF(Table418[[#This Row],[Name]]&lt;&gt;"",Table418[[#This Row],[Quantity]]*Table418[[#This Row],[Cost Per Unit (RM)]],"")</f>
        <v>0.40223999999999999</v>
      </c>
    </row>
    <row r="24" spans="1:4">
      <c r="A24" s="17" t="s">
        <v>144</v>
      </c>
      <c r="B24" s="18">
        <v>1</v>
      </c>
      <c r="C24" s="18">
        <f>IF(A24&lt;&gt;"",VLOOKUP(Table418[[#This Row],[Name]], PackagingTable[], 6, FALSE),"")</f>
        <v>4.3400000000000001E-2</v>
      </c>
      <c r="D24" s="18">
        <f>IF(Table418[[#This Row],[Name]]&lt;&gt;"",Table418[[#This Row],[Quantity]]*Table418[[#This Row],[Cost Per Unit (RM)]],"")</f>
        <v>4.3400000000000001E-2</v>
      </c>
    </row>
    <row r="25" spans="1:4">
      <c r="B25" s="13"/>
      <c r="C25" s="13"/>
      <c r="D25" s="13">
        <f>SUM(Table418[Total Cost (RM)])</f>
        <v>0.68563999999999992</v>
      </c>
    </row>
  </sheetData>
  <dataValidations count="3">
    <dataValidation type="list" allowBlank="1" showInputMessage="1" showErrorMessage="1" sqref="A22:A24" xr:uid="{94AC60CE-D26C-B54E-87A7-DBA0E061800D}">
      <formula1>INDIRECT("PackagingTable[Name]")</formula1>
    </dataValidation>
    <dataValidation type="list" allowBlank="1" showInputMessage="1" showErrorMessage="1" sqref="A16:A18" xr:uid="{9E4C3706-3AA0-3140-A31A-5250593B6578}">
      <formula1>INDIRECT("IngredientTable[Name]")</formula1>
    </dataValidation>
    <dataValidation type="list" allowBlank="1" showInputMessage="1" showErrorMessage="1" sqref="A10:A11" xr:uid="{4C98CE76-5D49-B446-95EA-8A29D1EE784F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8734-CF99-4A41-864E-C9988615BE3F}">
  <sheetPr>
    <tabColor theme="6" tint="0.39997558519241921"/>
  </sheetPr>
  <dimension ref="A1:D25"/>
  <sheetViews>
    <sheetView workbookViewId="0">
      <selection activeCell="C21" sqref="C21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1" t="s">
        <v>16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10.9</v>
      </c>
      <c r="B6" s="38">
        <f ca="1">SUM(Table11720[[#Totals],[Total Cost (RM)]]+Table41821[[#Totals],[Total Cost (RM)]]+Table1141922[[#Totals],[Total Cost (RM)]])</f>
        <v>2.3143452631578945</v>
      </c>
      <c r="C6" s="39">
        <f ca="1">A6-B6</f>
        <v>8.5856547368421055</v>
      </c>
      <c r="D6" s="40">
        <f ca="1">(C6/A6)*100</f>
        <v>78.767474649927578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IF(A10&lt;&gt;"",VLOOKUP(Table1141922[[#This Row],[Name]], MixedIngredientTable[], 4, FALSE),"")</f>
        <v>5.5789473684210522E-3</v>
      </c>
      <c r="D10" s="13">
        <f ca="1">IF(Table1141922[[#This Row],[Name]]&lt;&gt;"",Table1141922[[#This Row],[Quantity]]*Table1141922[[#This Row],[Cost Per Unit (RM)]],"")</f>
        <v>0.50210526315789472</v>
      </c>
    </row>
    <row r="11" spans="1:4">
      <c r="C11" s="13" t="str">
        <f>IF(A11&lt;&gt;"",VLOOKUP(Table1141922[[#This Row],[Name]], MixedIngredientTable[], 4, FALSE),"")</f>
        <v/>
      </c>
      <c r="D11" s="13" t="str">
        <f>IF(Table1141922[[#This Row],[Name]]&lt;&gt;"",Table1141922[[#This Row],[Quantity]]*Table1141922[[#This Row],[Cost Per Unit (RM)]],"")</f>
        <v/>
      </c>
    </row>
    <row r="12" spans="1:4">
      <c r="D12" s="13">
        <f ca="1">SUM(Table1141922[Total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IF(A16&lt;&gt;"",VLOOKUP(Table11720[[#This Row],[Name]], IngredientTable[], 6, FALSE),"")</f>
        <v>4.4999999999999997E-3</v>
      </c>
      <c r="D16">
        <f>IF(Table11720[[#This Row],[Name]]&lt;&gt;"",Table11720[[#This Row],[Quantity]]*Table11720[[#This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IF(A17&lt;&gt;"",VLOOKUP(Table11720[[#This Row],[Name]], IngredientTable[], 6, FALSE),"")</f>
        <v>4.5000000000000005E-3</v>
      </c>
      <c r="D17">
        <f>IF(Table11720[[#This Row],[Name]]&lt;&gt;"",Table11720[[#This Row],[Quantity]]*Table11720[[#This Row],[Cost Per Unit (RM)]],"")</f>
        <v>0.18000000000000002</v>
      </c>
    </row>
    <row r="18" spans="1:4">
      <c r="A18" t="s">
        <v>112</v>
      </c>
      <c r="B18">
        <v>15</v>
      </c>
      <c r="C18">
        <f>IF(A18&lt;&gt;"",VLOOKUP(Table11720[[#This Row],[Name]], IngredientTable[], 6, FALSE),"")</f>
        <v>3.3000000000000002E-2</v>
      </c>
      <c r="D18">
        <f>IF(Table11720[[#This Row],[Name]]&lt;&gt;"",Table11720[[#This Row],[Quantity]]*Table11720[[#This Row],[Cost Per Unit (RM)]],"")</f>
        <v>0.495</v>
      </c>
    </row>
    <row r="19" spans="1:4">
      <c r="D19" s="13">
        <f>SUM(Table11720[Total Cost (RM)])</f>
        <v>1.17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IF(A22&lt;&gt;"",VLOOKUP(Table41821[[#This Row],[Name]], PackagingTable[], 6, FALSE),"")</f>
        <v>0.24</v>
      </c>
      <c r="D22" s="18">
        <f>IF(Table41821[[#This Row],[Name]]&lt;&gt;"",Table41821[[#This Row],[Quantity]]*Table41821[[#This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IF(A23&lt;&gt;"",VLOOKUP(Table41821[[#This Row],[Name]], PackagingTable[], 6, FALSE),"")</f>
        <v>0.40223999999999999</v>
      </c>
      <c r="D23" s="18">
        <f>IF(Table41821[[#This Row],[Name]]&lt;&gt;"",Table41821[[#This Row],[Quantity]]*Table41821[[#This Row],[Cost Per Unit (RM)]],"")</f>
        <v>0.40223999999999999</v>
      </c>
    </row>
    <row r="24" spans="1:4">
      <c r="A24" s="17"/>
      <c r="B24" s="18"/>
      <c r="C24" s="18" t="str">
        <f>IF(A24&lt;&gt;"",VLOOKUP(Table41821[[#This Row],[Name]], PackagingTable[], 6, FALSE),"")</f>
        <v/>
      </c>
      <c r="D24" s="18" t="str">
        <f>IF(Table41821[[#This Row],[Name]]&lt;&gt;"",Table41821[[#This Row],[Quantity]]*Table41821[[#This Row],[Cost Per Unit (RM)]],"")</f>
        <v/>
      </c>
    </row>
    <row r="25" spans="1:4">
      <c r="B25" s="13"/>
      <c r="C25" s="13"/>
      <c r="D25" s="13">
        <f>SUM(Table41821[Total Cost (RM)])</f>
        <v>0.64223999999999992</v>
      </c>
    </row>
  </sheetData>
  <dataValidations count="3">
    <dataValidation type="list" allowBlank="1" showInputMessage="1" showErrorMessage="1" sqref="A10:A11" xr:uid="{D5122C78-6403-6849-93BE-E70B576BC2D7}">
      <formula1>INDIRECT("MixedIngredientTable[Name]")</formula1>
    </dataValidation>
    <dataValidation type="list" allowBlank="1" showInputMessage="1" showErrorMessage="1" sqref="A16:A18" xr:uid="{CA4AA5B9-A947-DA45-BF5B-640AC161A900}">
      <formula1>INDIRECT("IngredientTable[Name]")</formula1>
    </dataValidation>
    <dataValidation type="list" allowBlank="1" showInputMessage="1" showErrorMessage="1" sqref="A22:A24" xr:uid="{BE3D22B6-BF7C-3E40-891A-9139A962E675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7D8F-BEE0-C846-9FB8-699EC5AB6676}">
  <sheetPr>
    <tabColor theme="6" tint="0.39997558519241921"/>
  </sheetPr>
  <dimension ref="A1:D25"/>
  <sheetViews>
    <sheetView workbookViewId="0">
      <selection activeCell="A21" sqref="A21:B21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1" t="s">
        <v>17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9.5</v>
      </c>
      <c r="B6" s="38">
        <f ca="1">SUM(Table1172023[[#Totals],[Total Cost (RM)]]+Table4182124[[#Totals],[Total Cost (RM)]]+Table114192225[[#Totals],[Total Cost (RM)]])</f>
        <v>2.3143452631578945</v>
      </c>
      <c r="C6" s="39">
        <f ca="1">A6-B6</f>
        <v>7.1856547368421051</v>
      </c>
      <c r="D6" s="40">
        <f ca="1">(C6/A6)*100</f>
        <v>75.638470914127424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IF(A10&lt;&gt;"",VLOOKUP(Table114192225[[#This Row],[Name]], MixedIngredientTable[], 4, FALSE),"")</f>
        <v>5.5789473684210522E-3</v>
      </c>
      <c r="D10" s="13">
        <f ca="1">IF(Table114192225[[#This Row],[Name]]&lt;&gt;"",Table114192225[[#This Row],[Quantity]]*Table114192225[[#This Row],[Cost Per Unit (RM)]],"")</f>
        <v>0.50210526315789472</v>
      </c>
    </row>
    <row r="11" spans="1:4">
      <c r="C11" s="13" t="str">
        <f>IF(A11&lt;&gt;"",VLOOKUP(Table114192225[[#This Row],[Name]], MixedIngredientTable[], 4, FALSE),"")</f>
        <v/>
      </c>
      <c r="D11" s="13" t="str">
        <f>IF(Table114192225[[#This Row],[Name]]&lt;&gt;"",Table114192225[[#This Row],[Quantity]]*Table114192225[[#This Row],[Cost Per Unit (RM)]],"")</f>
        <v/>
      </c>
    </row>
    <row r="12" spans="1:4">
      <c r="D12" s="13">
        <f ca="1">SUM(Table114192225[Total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IF(A16&lt;&gt;"",VLOOKUP(Table1172023[[#This Row],[Name]], IngredientTable[], 6, FALSE),"")</f>
        <v>4.4999999999999997E-3</v>
      </c>
      <c r="D16">
        <f>IF(Table1172023[[#This Row],[Name]]&lt;&gt;"",Table1172023[[#This Row],[Quantity]]*Table1172023[[#This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IF(A17&lt;&gt;"",VLOOKUP(Table1172023[[#This Row],[Name]], IngredientTable[], 6, FALSE),"")</f>
        <v>4.5000000000000005E-3</v>
      </c>
      <c r="D17">
        <f>IF(Table1172023[[#This Row],[Name]]&lt;&gt;"",Table1172023[[#This Row],[Quantity]]*Table1172023[[#This Row],[Cost Per Unit (RM)]],"")</f>
        <v>0.18000000000000002</v>
      </c>
    </row>
    <row r="18" spans="1:4">
      <c r="A18" t="s">
        <v>111</v>
      </c>
      <c r="B18">
        <v>15</v>
      </c>
      <c r="C18">
        <f>IF(A18&lt;&gt;"",VLOOKUP(Table1172023[[#This Row],[Name]], IngredientTable[], 6, FALSE),"")</f>
        <v>3.3000000000000002E-2</v>
      </c>
      <c r="D18">
        <f>IF(Table1172023[[#This Row],[Name]]&lt;&gt;"",Table1172023[[#This Row],[Quantity]]*Table1172023[[#This Row],[Cost Per Unit (RM)]],"")</f>
        <v>0.495</v>
      </c>
    </row>
    <row r="19" spans="1:4">
      <c r="D19" s="13">
        <f>SUM(Table1172023[Total Cost (RM)])</f>
        <v>1.17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IF(A22&lt;&gt;"",VLOOKUP(Table4182124[[#This Row],[Name]], PackagingTable[], 6, FALSE),"")</f>
        <v>0.24</v>
      </c>
      <c r="D22" s="18">
        <f>IF(Table4182124[[#This Row],[Name]]&lt;&gt;"",Table4182124[[#This Row],[Quantity]]*Table4182124[[#This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IF(A23&lt;&gt;"",VLOOKUP(Table4182124[[#This Row],[Name]], PackagingTable[], 6, FALSE),"")</f>
        <v>0.40223999999999999</v>
      </c>
      <c r="D23" s="18">
        <f>IF(Table4182124[[#This Row],[Name]]&lt;&gt;"",Table4182124[[#This Row],[Quantity]]*Table4182124[[#This Row],[Cost Per Unit (RM)]],"")</f>
        <v>0.40223999999999999</v>
      </c>
    </row>
    <row r="24" spans="1:4">
      <c r="A24" s="17"/>
      <c r="B24" s="18"/>
      <c r="C24" s="18" t="str">
        <f>IF(A24&lt;&gt;"",VLOOKUP(Table4182124[[#This Row],[Name]], PackagingTable[], 6, FALSE),"")</f>
        <v/>
      </c>
      <c r="D24" s="18" t="str">
        <f>IF(Table4182124[[#This Row],[Name]]&lt;&gt;"",Table4182124[[#This Row],[Quantity]]*Table4182124[[#This Row],[Cost Per Unit (RM)]],"")</f>
        <v/>
      </c>
    </row>
    <row r="25" spans="1:4">
      <c r="B25" s="13"/>
      <c r="C25" s="13"/>
      <c r="D25" s="13">
        <f>SUM(Table4182124[Total Cost (RM)])</f>
        <v>0.64223999999999992</v>
      </c>
    </row>
  </sheetData>
  <dataValidations count="3">
    <dataValidation type="list" allowBlank="1" showInputMessage="1" showErrorMessage="1" sqref="A22:A24" xr:uid="{69DD81E6-3F90-0742-8637-2AB40C08178F}">
      <formula1>INDIRECT("PackagingTable[Name]")</formula1>
    </dataValidation>
    <dataValidation type="list" allowBlank="1" showInputMessage="1" showErrorMessage="1" sqref="A16:A18" xr:uid="{E9E47A58-5082-B840-9F6C-1DC21D75F990}">
      <formula1>INDIRECT("IngredientTable[Name]")</formula1>
    </dataValidation>
    <dataValidation type="list" allowBlank="1" showInputMessage="1" showErrorMessage="1" sqref="A10:A11" xr:uid="{078AD95B-8E64-E247-9CF4-7630FEB6261C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EDED-06DE-DC47-9729-360079CC1209}">
  <sheetPr>
    <tabColor theme="6" tint="0.39997558519241921"/>
  </sheetPr>
  <dimension ref="A1:D25"/>
  <sheetViews>
    <sheetView workbookViewId="0">
      <selection activeCell="A21" sqref="A21:B21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1" t="s">
        <v>18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11.9</v>
      </c>
      <c r="B6" s="38">
        <f ca="1">SUM(Table117202326[[#Totals],[Total Cost (RM)]]+Table418212427[[#Totals],[Total Cost (RM)]]+Table11419222528[[#Totals],[Total Cost (RM)]])</f>
        <v>2.3143452631578945</v>
      </c>
      <c r="C6" s="39">
        <f ca="1">A6-B6</f>
        <v>9.5856547368421055</v>
      </c>
      <c r="D6" s="40">
        <f ca="1">(C6/A6)*100</f>
        <v>80.551720477664745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IF(A10&lt;&gt;"",VLOOKUP(Table11419222528[[#This Row],[Name]], MixedIngredientTable[], 4, FALSE),"")</f>
        <v>5.5789473684210522E-3</v>
      </c>
      <c r="D10" s="13">
        <f ca="1">IF(Table11419222528[[#This Row],[Name]]&lt;&gt;"",Table11419222528[[#This Row],[Quantity]]*Table11419222528[[#This Row],[Cost Per Unit (RM)]],"")</f>
        <v>0.50210526315789472</v>
      </c>
    </row>
    <row r="11" spans="1:4">
      <c r="C11" s="13" t="str">
        <f>IF(A11&lt;&gt;"",VLOOKUP(Table11419222528[[#This Row],[Name]], MixedIngredientTable[], 4, FALSE),"")</f>
        <v/>
      </c>
      <c r="D11" s="13" t="str">
        <f>IF(Table11419222528[[#This Row],[Name]]&lt;&gt;"",Table11419222528[[#This Row],[Quantity]]*Table11419222528[[#This Row],[Cost Per Unit (RM)]],"")</f>
        <v/>
      </c>
    </row>
    <row r="12" spans="1:4">
      <c r="D12" s="13">
        <f ca="1">SUM(Table11419222528[Total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IF(A16&lt;&gt;"",VLOOKUP(Table117202326[[#This Row],[Name]], IngredientTable[], 6, FALSE),"")</f>
        <v>4.4999999999999997E-3</v>
      </c>
      <c r="D16">
        <f>IF(Table117202326[[#This Row],[Name]]&lt;&gt;"",Table117202326[[#This Row],[Quantity]]*Table117202326[[#This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IF(A17&lt;&gt;"",VLOOKUP(Table117202326[[#This Row],[Name]], IngredientTable[], 6, FALSE),"")</f>
        <v>4.5000000000000005E-3</v>
      </c>
      <c r="D17">
        <f>IF(Table117202326[[#This Row],[Name]]&lt;&gt;"",Table117202326[[#This Row],[Quantity]]*Table117202326[[#This Row],[Cost Per Unit (RM)]],"")</f>
        <v>0.18000000000000002</v>
      </c>
    </row>
    <row r="18" spans="1:4">
      <c r="A18" t="s">
        <v>115</v>
      </c>
      <c r="B18">
        <v>15</v>
      </c>
      <c r="C18">
        <f>IF(A18&lt;&gt;"",VLOOKUP(Table117202326[[#This Row],[Name]], IngredientTable[], 6, FALSE),"")</f>
        <v>3.3000000000000002E-2</v>
      </c>
      <c r="D18">
        <f>IF(Table117202326[[#This Row],[Name]]&lt;&gt;"",Table117202326[[#This Row],[Quantity]]*Table117202326[[#This Row],[Cost Per Unit (RM)]],"")</f>
        <v>0.495</v>
      </c>
    </row>
    <row r="19" spans="1:4">
      <c r="D19" s="13">
        <f>SUM(Table117202326[Total Cost (RM)])</f>
        <v>1.17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IF(A22&lt;&gt;"",VLOOKUP(Table418212427[[#This Row],[Name]], PackagingTable[], 6, FALSE),"")</f>
        <v>0.24</v>
      </c>
      <c r="D22" s="18">
        <f>IF(Table418212427[[#This Row],[Name]]&lt;&gt;"",Table418212427[[#This Row],[Quantity]]*Table418212427[[#This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IF(A23&lt;&gt;"",VLOOKUP(Table418212427[[#This Row],[Name]], PackagingTable[], 6, FALSE),"")</f>
        <v>0.40223999999999999</v>
      </c>
      <c r="D23" s="18">
        <f>IF(Table418212427[[#This Row],[Name]]&lt;&gt;"",Table418212427[[#This Row],[Quantity]]*Table418212427[[#This Row],[Cost Per Unit (RM)]],"")</f>
        <v>0.40223999999999999</v>
      </c>
    </row>
    <row r="24" spans="1:4">
      <c r="A24" s="17"/>
      <c r="B24" s="18"/>
      <c r="C24" s="18" t="str">
        <f>IF(A24&lt;&gt;"",VLOOKUP(Table418212427[[#This Row],[Name]], PackagingTable[], 6, FALSE),"")</f>
        <v/>
      </c>
      <c r="D24" s="18" t="str">
        <f>IF(Table418212427[[#This Row],[Name]]&lt;&gt;"",Table418212427[[#This Row],[Quantity]]*Table418212427[[#This Row],[Cost Per Unit (RM)]],"")</f>
        <v/>
      </c>
    </row>
    <row r="25" spans="1:4">
      <c r="B25" s="13"/>
      <c r="C25" s="13"/>
      <c r="D25" s="13">
        <f>SUM(Table418212427[Total Cost (RM)])</f>
        <v>0.64223999999999992</v>
      </c>
    </row>
  </sheetData>
  <dataValidations count="3">
    <dataValidation type="list" allowBlank="1" showInputMessage="1" showErrorMessage="1" sqref="A10:A11" xr:uid="{55FB3B0B-A9CC-DD4B-86E4-F9FA447C1CB5}">
      <formula1>INDIRECT("MixedIngredientTable[Name]")</formula1>
    </dataValidation>
    <dataValidation type="list" allowBlank="1" showInputMessage="1" showErrorMessage="1" sqref="A16:A18" xr:uid="{D4E23D24-4222-1D49-BF7C-175C2BAC24C7}">
      <formula1>INDIRECT("IngredientTable[Name]")</formula1>
    </dataValidation>
    <dataValidation type="list" allowBlank="1" showInputMessage="1" showErrorMessage="1" sqref="A22:A24" xr:uid="{778F268C-A51A-EB46-97F6-ADAA4DD9F38B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A43F-0CD5-5A4A-A211-8D2EA253060C}">
  <sheetPr>
    <tabColor theme="6" tint="0.39997558519241921"/>
  </sheetPr>
  <dimension ref="A1:D25"/>
  <sheetViews>
    <sheetView workbookViewId="0">
      <selection activeCell="A21" sqref="A21:B21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1" t="s">
        <v>19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11.9</v>
      </c>
      <c r="B6" s="38">
        <f ca="1">SUM(Table11720232629[[#Totals],[Total Cost (RM)]]+Table41821242730[[#Totals],[Total Cost (RM)]]+Table1141922252831[[#Totals],[Total Cost (RM)]])</f>
        <v>1.8193452631578948</v>
      </c>
      <c r="C6" s="39">
        <f ca="1">A6-B6</f>
        <v>10.080654736842106</v>
      </c>
      <c r="D6" s="40">
        <f ca="1">(C6/A6)*100</f>
        <v>84.711384343210966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IF(A10&lt;&gt;"",VLOOKUP(Table1141922252831[[#This Row],[Name]], MixedIngredientTable[], 4, FALSE),"")</f>
        <v>5.5789473684210522E-3</v>
      </c>
      <c r="D10" s="13">
        <f ca="1">IF(Table1141922252831[[#This Row],[Name]]&lt;&gt;"",Table1141922252831[[#This Row],[Quantity]]*Table1141922252831[[#This Row],[Cost Per Unit (RM)]],"")</f>
        <v>0.50210526315789472</v>
      </c>
    </row>
    <row r="11" spans="1:4">
      <c r="C11" s="13" t="str">
        <f>IF(A11&lt;&gt;"",VLOOKUP(Table1141922252831[[#This Row],[Name]], MixedIngredientTable[], 4, FALSE),"")</f>
        <v/>
      </c>
      <c r="D11" s="13" t="str">
        <f>IF(Table1141922252831[[#This Row],[Name]]&lt;&gt;"",Table1141922252831[[#This Row],[Quantity]]*Table1141922252831[[#This Row],[Cost Per Unit (RM)]],"")</f>
        <v/>
      </c>
    </row>
    <row r="12" spans="1:4">
      <c r="D12" s="13">
        <f ca="1">SUM(Table1141922252831[Total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IF(A16&lt;&gt;"",VLOOKUP(Table11720232629[[#This Row],[Name]], IngredientTable[], 6, FALSE),"")</f>
        <v>4.4999999999999997E-3</v>
      </c>
      <c r="D16">
        <f>IF(Table11720232629[[#This Row],[Name]]&lt;&gt;"",Table11720232629[[#This Row],[Quantity]]*Table11720232629[[#This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IF(A17&lt;&gt;"",VLOOKUP(Table11720232629[[#This Row],[Name]], IngredientTable[], 6, FALSE),"")</f>
        <v>4.5000000000000005E-3</v>
      </c>
      <c r="D17">
        <f>IF(Table11720232629[[#This Row],[Name]]&lt;&gt;"",Table11720232629[[#This Row],[Quantity]]*Table11720232629[[#This Row],[Cost Per Unit (RM)]],"")</f>
        <v>0.18000000000000002</v>
      </c>
    </row>
    <row r="18" spans="1:4">
      <c r="A18" t="s">
        <v>113</v>
      </c>
      <c r="C18">
        <f>IF(A18&lt;&gt;"",VLOOKUP(Table11720232629[[#This Row],[Name]], IngredientTable[], 6, FALSE),"")</f>
        <v>3.3000000000000002E-2</v>
      </c>
      <c r="D18">
        <f>IF(Table11720232629[[#This Row],[Name]]&lt;&gt;"",Table11720232629[[#This Row],[Quantity]]*Table11720232629[[#This Row],[Cost Per Unit (RM)]],"")</f>
        <v>0</v>
      </c>
    </row>
    <row r="19" spans="1:4">
      <c r="D19" s="13">
        <f>SUM(Table11720232629[Total Cost (RM)])</f>
        <v>0.67499999999999993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8" t="s">
        <v>143</v>
      </c>
      <c r="B22" s="18">
        <v>1</v>
      </c>
      <c r="C22" s="18">
        <f>IF(A22&lt;&gt;"",VLOOKUP(Table41821242730[[#This Row],[Name]], PackagingTable[], 6, FALSE),"")</f>
        <v>0.24</v>
      </c>
      <c r="D22" s="18">
        <f>IF(Table41821242730[[#This Row],[Name]]&lt;&gt;"",Table41821242730[[#This Row],[Quantity]]*Table41821242730[[#This Row],[Cost Per Unit (RM)]],"")</f>
        <v>0.24</v>
      </c>
    </row>
    <row r="23" spans="1:4">
      <c r="A23" s="18" t="s">
        <v>141</v>
      </c>
      <c r="B23" s="18">
        <v>1</v>
      </c>
      <c r="C23" s="18">
        <f>IF(A23&lt;&gt;"",VLOOKUP(Table41821242730[[#This Row],[Name]], PackagingTable[], 6, FALSE),"")</f>
        <v>0.40223999999999999</v>
      </c>
      <c r="D23" s="18">
        <f>IF(Table41821242730[[#This Row],[Name]]&lt;&gt;"",Table41821242730[[#This Row],[Quantity]]*Table41821242730[[#This Row],[Cost Per Unit (RM)]],"")</f>
        <v>0.40223999999999999</v>
      </c>
    </row>
    <row r="24" spans="1:4">
      <c r="A24" s="18"/>
      <c r="B24" s="18"/>
      <c r="C24" s="18" t="str">
        <f>IF(A24&lt;&gt;"",VLOOKUP(Table41821242730[[#This Row],[Name]], PackagingTable[], 6, FALSE),"")</f>
        <v/>
      </c>
      <c r="D24" s="18" t="str">
        <f>IF(Table41821242730[[#This Row],[Name]]&lt;&gt;"",Table41821242730[[#This Row],[Quantity]]*Table41821242730[[#This Row],[Cost Per Unit (RM)]],"")</f>
        <v/>
      </c>
    </row>
    <row r="25" spans="1:4">
      <c r="B25" s="13"/>
      <c r="C25" s="13"/>
      <c r="D25" s="13">
        <f>SUM(Table41821242730[Total Cost (RM)])</f>
        <v>0.64223999999999992</v>
      </c>
    </row>
  </sheetData>
  <dataValidations count="3">
    <dataValidation type="list" allowBlank="1" showInputMessage="1" showErrorMessage="1" sqref="A22:A24" xr:uid="{DD928491-026E-5E47-879B-381BE590307F}">
      <formula1>INDIRECT("PackagingTable[Name]")</formula1>
    </dataValidation>
    <dataValidation type="list" allowBlank="1" showInputMessage="1" showErrorMessage="1" sqref="A16:A18" xr:uid="{6A166942-19D7-C543-8178-296E2EA780E7}">
      <formula1>INDIRECT("IngredientTable[Name]")</formula1>
    </dataValidation>
    <dataValidation type="list" allowBlank="1" showInputMessage="1" showErrorMessage="1" sqref="A10:A11" xr:uid="{6466CA2B-95F4-7E44-96E1-9BBAF1AD7F15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89E0-EC04-6E4C-BED6-7CADC19ADB51}">
  <sheetPr>
    <tabColor theme="6" tint="0.39997558519241921"/>
  </sheetPr>
  <dimension ref="A1:D25"/>
  <sheetViews>
    <sheetView workbookViewId="0">
      <selection activeCell="A21" sqref="A21:B21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1" t="s">
        <v>20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11.9</v>
      </c>
      <c r="B6" s="38">
        <f ca="1">SUM(Table1172023262932[[#Totals],[Total Cost (RM)]]+Table4182124273033[[#Totals],[Total Cost (RM)]]+Table114192225283134[[#Totals],[Total Cost (RM)]])</f>
        <v>2.3143452631578945</v>
      </c>
      <c r="C6" s="39">
        <f ca="1">A6-B6</f>
        <v>9.5856547368421055</v>
      </c>
      <c r="D6" s="40">
        <f ca="1">(C6/A6)*100</f>
        <v>80.551720477664745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IF(A10&lt;&gt;"",VLOOKUP(Table114192225283134[[#This Row],[Name]], MixedIngredientTable[], 4, FALSE),"")</f>
        <v>5.5789473684210522E-3</v>
      </c>
      <c r="D10" s="13">
        <f ca="1">IF(Table114192225283134[[#This Row],[Name]]&lt;&gt;"",Table114192225283134[[#This Row],[Quantity]]*Table114192225283134[[#This Row],[Cost Per Unit (RM)]],"")</f>
        <v>0.50210526315789472</v>
      </c>
    </row>
    <row r="11" spans="1:4">
      <c r="C11" s="13" t="str">
        <f>IF(A11&lt;&gt;"",VLOOKUP(Table114192225283134[[#This Row],[Name]], MixedIngredientTable[], 4, FALSE),"")</f>
        <v/>
      </c>
      <c r="D11" s="13" t="str">
        <f>IF(Table114192225283134[[#This Row],[Name]]&lt;&gt;"",Table114192225283134[[#This Row],[Quantity]]*Table114192225283134[[#This Row],[Cost Per Unit (RM)]],"")</f>
        <v/>
      </c>
    </row>
    <row r="12" spans="1:4">
      <c r="D12" s="13">
        <f ca="1">SUM(Table114192225283134[Total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IF(A16&lt;&gt;"",VLOOKUP(Table1172023262932[[#This Row],[Name]], IngredientTable[], 6, FALSE),"")</f>
        <v>4.4999999999999997E-3</v>
      </c>
      <c r="D16">
        <f>IF(Table1172023262932[[#This Row],[Name]]&lt;&gt;"",Table1172023262932[[#This Row],[Quantity]]*Table1172023262932[[#This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IF(A17&lt;&gt;"",VLOOKUP(Table1172023262932[[#This Row],[Name]], IngredientTable[], 6, FALSE),"")</f>
        <v>4.5000000000000005E-3</v>
      </c>
      <c r="D17">
        <f>IF(Table1172023262932[[#This Row],[Name]]&lt;&gt;"",Table1172023262932[[#This Row],[Quantity]]*Table1172023262932[[#This Row],[Cost Per Unit (RM)]],"")</f>
        <v>0.18000000000000002</v>
      </c>
    </row>
    <row r="18" spans="1:4">
      <c r="A18" t="s">
        <v>116</v>
      </c>
      <c r="B18">
        <v>15</v>
      </c>
      <c r="C18">
        <f>IF(A18&lt;&gt;"",VLOOKUP(Table1172023262932[[#This Row],[Name]], IngredientTable[], 6, FALSE),"")</f>
        <v>3.3000000000000002E-2</v>
      </c>
      <c r="D18">
        <f>IF(Table1172023262932[[#This Row],[Name]]&lt;&gt;"",Table1172023262932[[#This Row],[Quantity]]*Table1172023262932[[#This Row],[Cost Per Unit (RM)]],"")</f>
        <v>0.495</v>
      </c>
    </row>
    <row r="19" spans="1:4">
      <c r="D19" s="13">
        <f>SUM(Table1172023262932[Total Cost (RM)])</f>
        <v>1.17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8" t="s">
        <v>143</v>
      </c>
      <c r="B22" s="18">
        <v>1</v>
      </c>
      <c r="C22" s="18">
        <f>IF(A22&lt;&gt;"",VLOOKUP(Table4182124273033[[#This Row],[Name]], PackagingTable[], 6, FALSE),"")</f>
        <v>0.24</v>
      </c>
      <c r="D22" s="18">
        <f>IF(Table4182124273033[[#This Row],[Name]]&lt;&gt;"",Table4182124273033[[#This Row],[Quantity]]*Table4182124273033[[#This Row],[Cost Per Unit (RM)]],"")</f>
        <v>0.24</v>
      </c>
    </row>
    <row r="23" spans="1:4">
      <c r="A23" s="18" t="s">
        <v>141</v>
      </c>
      <c r="B23" s="18">
        <v>1</v>
      </c>
      <c r="C23" s="18">
        <f>IF(A23&lt;&gt;"",VLOOKUP(Table4182124273033[[#This Row],[Name]], PackagingTable[], 6, FALSE),"")</f>
        <v>0.40223999999999999</v>
      </c>
      <c r="D23" s="18">
        <f>IF(Table4182124273033[[#This Row],[Name]]&lt;&gt;"",Table4182124273033[[#This Row],[Quantity]]*Table4182124273033[[#This Row],[Cost Per Unit (RM)]],"")</f>
        <v>0.40223999999999999</v>
      </c>
    </row>
    <row r="24" spans="1:4">
      <c r="A24" s="18"/>
      <c r="B24" s="18"/>
      <c r="C24" s="18" t="str">
        <f>IF(A24&lt;&gt;"",VLOOKUP(Table4182124273033[[#This Row],[Name]], PackagingTable[], 6, FALSE),"")</f>
        <v/>
      </c>
      <c r="D24" s="18" t="str">
        <f>IF(Table4182124273033[[#This Row],[Name]]&lt;&gt;"",Table4182124273033[[#This Row],[Quantity]]*Table4182124273033[[#This Row],[Cost Per Unit (RM)]],"")</f>
        <v/>
      </c>
    </row>
    <row r="25" spans="1:4">
      <c r="B25" s="13"/>
      <c r="C25" s="13"/>
      <c r="D25" s="13">
        <f>SUM(Table4182124273033[Total Cost (RM)])</f>
        <v>0.64223999999999992</v>
      </c>
    </row>
  </sheetData>
  <dataValidations count="3">
    <dataValidation type="list" allowBlank="1" showInputMessage="1" showErrorMessage="1" sqref="A10:A11" xr:uid="{41C1959F-3B69-8449-B650-DFC028F9966E}">
      <formula1>INDIRECT("MixedIngredientTable[Name]")</formula1>
    </dataValidation>
    <dataValidation type="list" allowBlank="1" showInputMessage="1" showErrorMessage="1" sqref="A16:A18" xr:uid="{1254EE7C-C170-2445-BE3B-918FA244BDBC}">
      <formula1>INDIRECT("IngredientTable[Name]")</formula1>
    </dataValidation>
    <dataValidation type="list" allowBlank="1" showInputMessage="1" showErrorMessage="1" sqref="A22:A24" xr:uid="{B18950FF-8008-944D-8A12-051F2122395D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D735-EF7D-BF48-B16C-6A43BC6234DB}">
  <sheetPr>
    <tabColor theme="6" tint="0.39997558519241921"/>
  </sheetPr>
  <dimension ref="A1:D25"/>
  <sheetViews>
    <sheetView workbookViewId="0">
      <selection activeCell="H7" sqref="H7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1" t="s">
        <v>21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9.9</v>
      </c>
      <c r="B6" s="38">
        <f ca="1">SUM(Table11735[[#Totals],[Total Cost (RM)]]+Table41836[[#Totals],[Total Cost (RM)]]+Table1141937[[#Totals],[Total Cost (RM)]])</f>
        <v>2.2402827631578948</v>
      </c>
      <c r="C6" s="39">
        <f ca="1">A6-B6</f>
        <v>7.6597172368421056</v>
      </c>
      <c r="D6" s="40">
        <f ca="1">(C6/A6)*100</f>
        <v>77.370881180223279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IF(A10&lt;&gt;"",VLOOKUP(Table1141937[[#This Row],[Name]], MixedIngredientTable[], 4, FALSE),"")</f>
        <v>5.5789473684210522E-3</v>
      </c>
      <c r="D10" s="13">
        <f ca="1">IF(Table1141937[[#This Row],[Name]]&lt;&gt;"",Table1141937[[#This Row],[Quantity]]*Table1141937[[#This Row],[Cost Per Unit (RM)]],"")</f>
        <v>0.50210526315789472</v>
      </c>
    </row>
    <row r="11" spans="1:4">
      <c r="C11" s="13" t="str">
        <f>IF(A11&lt;&gt;"",VLOOKUP(Table1141937[[#This Row],[Name]], MixedIngredientTable[], 4, FALSE),"")</f>
        <v/>
      </c>
      <c r="D11" s="13" t="str">
        <f>IF(Table1141937[[#This Row],[Name]]&lt;&gt;"",Table1141937[[#This Row],[Quantity]]*Table1141937[[#This Row],[Cost Per Unit (RM)]],"")</f>
        <v/>
      </c>
    </row>
    <row r="12" spans="1:4">
      <c r="D12" s="13">
        <f ca="1">SUM(Table1141937[Total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IF(A16&lt;&gt;"",VLOOKUP(Table11735[[#This Row],[Name]], IngredientTable[], 6, FALSE),"")</f>
        <v>4.4999999999999997E-3</v>
      </c>
      <c r="D16">
        <f>IF(Table11735[[#This Row],[Name]]&lt;&gt;"",Table11735[[#This Row],[Quantity]]*Table11735[[#This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IF(A17&lt;&gt;"",VLOOKUP(Table11735[[#This Row],[Name]], IngredientTable[], 6, FALSE),"")</f>
        <v>4.5000000000000005E-3</v>
      </c>
      <c r="D17">
        <f>IF(Table11735[[#This Row],[Name]]&lt;&gt;"",Table11735[[#This Row],[Quantity]]*Table11735[[#This Row],[Cost Per Unit (RM)]],"")</f>
        <v>0.18000000000000002</v>
      </c>
    </row>
    <row r="18" spans="1:4">
      <c r="A18" t="s">
        <v>118</v>
      </c>
      <c r="B18">
        <v>1.5</v>
      </c>
      <c r="C18">
        <f>IF(A18&lt;&gt;"",VLOOKUP(Table11735[[#This Row],[Name]], IngredientTable[], 6, FALSE),"")</f>
        <v>0.28062500000000001</v>
      </c>
      <c r="D18">
        <f>IF(Table11735[[#This Row],[Name]]&lt;&gt;"",Table11735[[#This Row],[Quantity]]*Table11735[[#This Row],[Cost Per Unit (RM)]],"")</f>
        <v>0.42093750000000002</v>
      </c>
    </row>
    <row r="19" spans="1:4">
      <c r="D19" s="13">
        <f>SUM(Table11735[Total Cost (RM)])</f>
        <v>1.0959375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IF(A22&lt;&gt;"",VLOOKUP(Table41836[[#This Row],[Name]], PackagingTable[], 6, FALSE),"")</f>
        <v>0.24</v>
      </c>
      <c r="D22" s="18">
        <f>IF(Table41836[[#This Row],[Name]]&lt;&gt;"",Table41836[[#This Row],[Quantity]]*Table41836[[#This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IF(A23&lt;&gt;"",VLOOKUP(Table41836[[#This Row],[Name]], PackagingTable[], 6, FALSE),"")</f>
        <v>0.40223999999999999</v>
      </c>
      <c r="D23" s="18">
        <f>IF(Table41836[[#This Row],[Name]]&lt;&gt;"",Table41836[[#This Row],[Quantity]]*Table41836[[#This Row],[Cost Per Unit (RM)]],"")</f>
        <v>0.40223999999999999</v>
      </c>
    </row>
    <row r="24" spans="1:4">
      <c r="A24" s="17"/>
      <c r="B24" s="18"/>
      <c r="C24" s="18" t="str">
        <f>IF(A24&lt;&gt;"",VLOOKUP(Table41836[[#This Row],[Name]], PackagingTable[], 6, FALSE),"")</f>
        <v/>
      </c>
      <c r="D24" s="18" t="str">
        <f>IF(Table41836[[#This Row],[Name]]&lt;&gt;"",Table41836[[#This Row],[Quantity]]*Table41836[[#This Row],[Cost Per Unit (RM)]],"")</f>
        <v/>
      </c>
    </row>
    <row r="25" spans="1:4">
      <c r="B25" s="13"/>
      <c r="C25" s="13"/>
      <c r="D25" s="13">
        <f>SUM(Table41836[Total Cost (RM)])</f>
        <v>0.64223999999999992</v>
      </c>
    </row>
  </sheetData>
  <dataValidations count="3">
    <dataValidation type="list" allowBlank="1" showInputMessage="1" showErrorMessage="1" sqref="A10:A11" xr:uid="{6820FFC2-F1FF-EA4D-9A91-EEF8BBA9B087}">
      <formula1>INDIRECT("MixedIngredientTable[Name]")</formula1>
    </dataValidation>
    <dataValidation type="list" allowBlank="1" showInputMessage="1" showErrorMessage="1" sqref="A16:A18" xr:uid="{EBE64F86-2CD9-1E40-BC82-A59569D66AFF}">
      <formula1>INDIRECT("IngredientTable[Name]")</formula1>
    </dataValidation>
    <dataValidation type="list" allowBlank="1" showInputMessage="1" showErrorMessage="1" sqref="A22:A24" xr:uid="{4B4C0B01-298F-6244-AE2A-3331E724EE53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2AFDB-D6B2-4510-8742-75A7A0482635}">
  <sheetPr>
    <tabColor theme="6" tint="0.39997558519241921"/>
  </sheetPr>
  <dimension ref="A1:D25"/>
  <sheetViews>
    <sheetView workbookViewId="0">
      <selection activeCell="C11" sqref="C11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8" t="s">
        <v>23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10.9</v>
      </c>
      <c r="B6" s="38">
        <f ca="1">SUM(Table11735942[[#Totals],[Total Cost (RM)]]+Table418361243[[#Totals],[Total Cost (RM)]]+Table11419374144[[#Totals],[Total Cost (RM)]])</f>
        <v>2.2042924376050692</v>
      </c>
      <c r="C6" s="39">
        <f ca="1">A6-B6</f>
        <v>8.6957075623949311</v>
      </c>
      <c r="D6" s="40">
        <f ca="1">(C6/A6)*100</f>
        <v>79.777133599953501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IF(A10&lt;&gt;"",VLOOKUP(Table11419374144[[#This Row],[Name]], MixedIngredientTable[], 4, FALSE),"")</f>
        <v>5.5789473684210522E-3</v>
      </c>
      <c r="D10" s="13">
        <f ca="1">IF(Table11419374144[[#This Row],[Name]]&lt;&gt;"",Table11419374144[[#This Row],[Quantity]]*Table11419374144[[#This Row],[Cost Per Unit (RM)]],"")</f>
        <v>0.50210526315789472</v>
      </c>
    </row>
    <row r="11" spans="1:4">
      <c r="A11" t="s">
        <v>77</v>
      </c>
      <c r="B11" s="13">
        <v>8</v>
      </c>
      <c r="C11" s="13">
        <f ca="1">IF(A11&lt;&gt;"",VLOOKUP(Table11419374144[[#This Row],[Name]], MixedIngredientTable[], 4, FALSE),"")</f>
        <v>2.1454545454545452E-2</v>
      </c>
      <c r="D11" s="13">
        <f ca="1">IF(Table11419374144[[#This Row],[Name]]&lt;&gt;"",Table11419374144[[#This Row],[Quantity]]*Table11419374144[[#This Row],[Cost Per Unit (RM)]],"")</f>
        <v>0.17163636363636361</v>
      </c>
    </row>
    <row r="12" spans="1:4">
      <c r="D12" s="13">
        <f ca="1">SUM(Table11419374144[Total Cost (RM)])</f>
        <v>0.67374162679425831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IF(A16&lt;&gt;"",VLOOKUP(Table11735942[[#This Row],[Name]], IngredientTable[], 6, FALSE),"")</f>
        <v>4.4999999999999997E-3</v>
      </c>
      <c r="D16">
        <f>IF(Table11735942[[#This Row],[Name]]&lt;&gt;"",Table11735942[[#This Row],[Quantity]]*Table11735942[[#This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IF(A17&lt;&gt;"",VLOOKUP(Table11735942[[#This Row],[Name]], IngredientTable[], 6, FALSE),"")</f>
        <v>4.5000000000000005E-3</v>
      </c>
      <c r="D17">
        <f>IF(Table11735942[[#This Row],[Name]]&lt;&gt;"",Table11735942[[#This Row],[Quantity]]*Table11735942[[#This Row],[Cost Per Unit (RM)]],"")</f>
        <v>0.18000000000000002</v>
      </c>
    </row>
    <row r="18" spans="1:4">
      <c r="A18" t="s">
        <v>110</v>
      </c>
      <c r="B18">
        <v>7.7</v>
      </c>
      <c r="C18">
        <f>IF(A18&lt;&gt;"",VLOOKUP(Table11735942[[#This Row],[Name]], IngredientTable[], 6, FALSE),"")</f>
        <v>2.7702702702702704E-2</v>
      </c>
      <c r="D18">
        <f>IF(Table11735942[[#This Row],[Name]]&lt;&gt;"",Table11735942[[#This Row],[Quantity]]*Table11735942[[#This Row],[Cost Per Unit (RM)]],"")</f>
        <v>0.21331081081081082</v>
      </c>
    </row>
    <row r="19" spans="1:4">
      <c r="D19" s="13">
        <f>SUM(Table11735942[Total Cost (RM)])</f>
        <v>0.88831081081081076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IF(A22&lt;&gt;"",VLOOKUP(Table418361243[[#This Row],[Name]], PackagingTable[], 6, FALSE),"")</f>
        <v>0.24</v>
      </c>
      <c r="D22" s="18">
        <f>IF(Table418361243[[#This Row],[Name]]&lt;&gt;"",Table418361243[[#This Row],[Quantity]]*Table418361243[[#This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IF(A23&lt;&gt;"",VLOOKUP(Table418361243[[#This Row],[Name]], PackagingTable[], 6, FALSE),"")</f>
        <v>0.40223999999999999</v>
      </c>
      <c r="D23" s="18">
        <f>IF(Table418361243[[#This Row],[Name]]&lt;&gt;"",Table418361243[[#This Row],[Quantity]]*Table418361243[[#This Row],[Cost Per Unit (RM)]],"")</f>
        <v>0.40223999999999999</v>
      </c>
    </row>
    <row r="24" spans="1:4">
      <c r="A24" s="17"/>
      <c r="B24" s="18"/>
      <c r="C24" s="18" t="str">
        <f>IF(A24&lt;&gt;"",VLOOKUP(Table418361243[[#This Row],[Name]], PackagingTable[], 6, FALSE),"")</f>
        <v/>
      </c>
      <c r="D24" s="18" t="str">
        <f>IF(Table418361243[[#This Row],[Name]]&lt;&gt;"",Table418361243[[#This Row],[Quantity]]*Table418361243[[#This Row],[Cost Per Unit (RM)]],"")</f>
        <v/>
      </c>
    </row>
    <row r="25" spans="1:4">
      <c r="B25" s="13"/>
      <c r="C25" s="13"/>
      <c r="D25" s="13">
        <f>SUM(Table418361243[Total Cost (RM)])</f>
        <v>0.64223999999999992</v>
      </c>
    </row>
  </sheetData>
  <dataValidations count="3">
    <dataValidation type="list" allowBlank="1" showInputMessage="1" showErrorMessage="1" sqref="A10:A11" xr:uid="{6E877462-7354-4038-981E-00FC00050517}">
      <formula1>INDIRECT("MixedIngredientTable[Name]")</formula1>
    </dataValidation>
    <dataValidation type="list" allowBlank="1" showInputMessage="1" showErrorMessage="1" sqref="A16:A18" xr:uid="{286C0EAF-EA02-4BC5-8F00-41C4957689F8}">
      <formula1>INDIRECT("IngredientTable[Name]")</formula1>
    </dataValidation>
    <dataValidation type="list" allowBlank="1" showInputMessage="1" showErrorMessage="1" sqref="A22:A24" xr:uid="{319FFC65-EDC6-48B6-85C3-1FBAC0D3F443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3211-5599-4B8B-A075-42FCDD3A8BFA}">
  <sheetPr>
    <tabColor theme="6" tint="0.39997558519241921"/>
  </sheetPr>
  <dimension ref="A1:D26"/>
  <sheetViews>
    <sheetView workbookViewId="0">
      <selection activeCell="K5" sqref="K5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8" t="s">
        <v>24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12.5</v>
      </c>
      <c r="B6" s="38">
        <f ca="1">SUM(Table117359[[#Totals],[Total Cost (RM)]]+Table4183612[[#Totals],[Total Cost (RM)]]+Table114193741[[#Totals],[Total Cost (RM)]])</f>
        <v>2.448481626794258</v>
      </c>
      <c r="C6" s="39">
        <f ca="1">A6-B6</f>
        <v>10.051518373205742</v>
      </c>
      <c r="D6" s="40">
        <f ca="1">(C6/A6)*100</f>
        <v>80.412146985645933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IF(A10&lt;&gt;"",VLOOKUP(Table114193741[[#This Row],[Name]], MixedIngredientTable[], 4, FALSE),"")</f>
        <v>5.5789473684210522E-3</v>
      </c>
      <c r="D10" s="13">
        <f ca="1">IF(Table114193741[[#This Row],[Name]]&lt;&gt;"",Table114193741[[#This Row],[Quantity]]*Table114193741[[#This Row],[Cost Per Unit (RM)]],"")</f>
        <v>0.50210526315789472</v>
      </c>
    </row>
    <row r="11" spans="1:4">
      <c r="A11" t="s">
        <v>77</v>
      </c>
      <c r="B11" s="13">
        <v>8</v>
      </c>
      <c r="C11" s="13">
        <f ca="1">IF(A11&lt;&gt;"",VLOOKUP(Table114193741[[#This Row],[Name]], MixedIngredientTable[], 4, FALSE),"")</f>
        <v>2.1454545454545452E-2</v>
      </c>
      <c r="D11" s="13">
        <f ca="1">IF(Table114193741[[#This Row],[Name]]&lt;&gt;"",Table114193741[[#This Row],[Quantity]]*Table114193741[[#This Row],[Cost Per Unit (RM)]],"")</f>
        <v>0.17163636363636361</v>
      </c>
    </row>
    <row r="12" spans="1:4">
      <c r="D12" s="13">
        <f ca="1">SUM(Table114193741[Total Cost (RM)])</f>
        <v>0.67374162679425831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IF(A16&lt;&gt;"",VLOOKUP(Table117359[[#This Row],[Name]], IngredientTable[], 6, FALSE),"")</f>
        <v>4.4999999999999997E-3</v>
      </c>
      <c r="D16">
        <f>IF(Table117359[[#This Row],[Name]]&lt;&gt;"",Table117359[[#This Row],[Quantity]]*Table117359[[#This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IF(A17&lt;&gt;"",VLOOKUP(Table117359[[#This Row],[Name]], IngredientTable[], 6, FALSE),"")</f>
        <v>4.5000000000000005E-3</v>
      </c>
      <c r="D17">
        <f>IF(Table117359[[#This Row],[Name]]&lt;&gt;"",Table117359[[#This Row],[Quantity]]*Table117359[[#This Row],[Cost Per Unit (RM)]],"")</f>
        <v>0.18000000000000002</v>
      </c>
    </row>
    <row r="18" spans="1:4">
      <c r="A18" t="s">
        <v>99</v>
      </c>
      <c r="B18">
        <v>15</v>
      </c>
      <c r="C18">
        <f>IF(A18&lt;&gt;"",VLOOKUP(Table117359[[#This Row],[Name]], IngredientTable[], 6, FALSE),"")</f>
        <v>3.0499999999999999E-2</v>
      </c>
      <c r="D18">
        <f>IF(Table117359[[#This Row],[Name]]&lt;&gt;"",Table117359[[#This Row],[Quantity]]*Table117359[[#This Row],[Cost Per Unit (RM)]],"")</f>
        <v>0.45750000000000002</v>
      </c>
    </row>
    <row r="19" spans="1:4">
      <c r="C19" t="str">
        <f>IF(A19&lt;&gt;"",VLOOKUP(Table117359[[#This Row],[Name]], IngredientTable[], 6, FALSE),"")</f>
        <v/>
      </c>
      <c r="D19" t="str">
        <f>IF(Table117359[[#This Row],[Name]]&lt;&gt;"",Table117359[[#This Row],[Quantity]]*Table117359[[#This Row],[Cost Per Unit (RM)]],"")</f>
        <v/>
      </c>
    </row>
    <row r="20" spans="1:4">
      <c r="D20" s="13">
        <f>SUM(Table117359[Total Cost (RM)])</f>
        <v>1.1324999999999998</v>
      </c>
    </row>
    <row r="21" spans="1:4">
      <c r="A21" s="1" t="s">
        <v>161</v>
      </c>
    </row>
    <row r="22" spans="1:4">
      <c r="A22" s="7" t="s">
        <v>7</v>
      </c>
      <c r="B22" s="5" t="s">
        <v>86</v>
      </c>
      <c r="C22" s="13" t="s">
        <v>74</v>
      </c>
      <c r="D22" s="13" t="s">
        <v>10</v>
      </c>
    </row>
    <row r="23" spans="1:4">
      <c r="A23" s="17" t="s">
        <v>143</v>
      </c>
      <c r="B23" s="18">
        <v>1</v>
      </c>
      <c r="C23" s="18">
        <f>IF(A23&lt;&gt;"",VLOOKUP(Table4183612[[#This Row],[Name]], PackagingTable[], 6, FALSE),"")</f>
        <v>0.24</v>
      </c>
      <c r="D23" s="18">
        <f>IF(Table4183612[[#This Row],[Name]]&lt;&gt;"",Table4183612[[#This Row],[Quantity]]*Table4183612[[#This Row],[Cost Per Unit (RM)]],"")</f>
        <v>0.24</v>
      </c>
    </row>
    <row r="24" spans="1:4">
      <c r="A24" s="17" t="s">
        <v>141</v>
      </c>
      <c r="B24" s="18">
        <v>1</v>
      </c>
      <c r="C24" s="18">
        <f>IF(A24&lt;&gt;"",VLOOKUP(Table4183612[[#This Row],[Name]], PackagingTable[], 6, FALSE),"")</f>
        <v>0.40223999999999999</v>
      </c>
      <c r="D24" s="18">
        <f>IF(Table4183612[[#This Row],[Name]]&lt;&gt;"",Table4183612[[#This Row],[Quantity]]*Table4183612[[#This Row],[Cost Per Unit (RM)]],"")</f>
        <v>0.40223999999999999</v>
      </c>
    </row>
    <row r="25" spans="1:4">
      <c r="A25" s="17"/>
      <c r="B25" s="18"/>
      <c r="C25" s="18" t="str">
        <f>IF(A25&lt;&gt;"",VLOOKUP(Table4183612[[#This Row],[Name]], PackagingTable[], 6, FALSE),"")</f>
        <v/>
      </c>
      <c r="D25" s="18" t="str">
        <f>IF(Table4183612[[#This Row],[Name]]&lt;&gt;"",Table4183612[[#This Row],[Quantity]]*Table4183612[[#This Row],[Cost Per Unit (RM)]],"")</f>
        <v/>
      </c>
    </row>
    <row r="26" spans="1:4">
      <c r="B26" s="13"/>
      <c r="C26" s="13"/>
      <c r="D26" s="13">
        <f>SUM(Table4183612[Total Cost (RM)])</f>
        <v>0.64223999999999992</v>
      </c>
    </row>
  </sheetData>
  <dataValidations count="3">
    <dataValidation type="list" allowBlank="1" showInputMessage="1" showErrorMessage="1" sqref="A23:A25" xr:uid="{A22B5548-676C-4276-AC20-3389F80B7CBD}">
      <formula1>INDIRECT("PackagingTable[Name]")</formula1>
    </dataValidation>
    <dataValidation type="list" allowBlank="1" showInputMessage="1" showErrorMessage="1" sqref="A10:A11" xr:uid="{4B6BB3F9-5379-475E-8439-CC19713F00FC}">
      <formula1>INDIRECT("MixedIngredientTable[Name]")</formula1>
    </dataValidation>
    <dataValidation type="list" allowBlank="1" showInputMessage="1" showErrorMessage="1" sqref="A16:A18" xr:uid="{13276DD2-6A45-4D79-AB90-B3E8BE822D97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9A20-2B27-4479-BE88-A4175ACF303C}">
  <sheetPr>
    <tabColor theme="6" tint="0.39997558519241921"/>
  </sheetPr>
  <dimension ref="A1:D25"/>
  <sheetViews>
    <sheetView workbookViewId="0">
      <selection activeCell="B11" sqref="B11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8" t="s">
        <v>25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11.9</v>
      </c>
      <c r="B6" s="38">
        <f ca="1">SUM(Table11735945[[#Totals],[Total Cost (RM)]]+Table418361246[[#Totals],[Total Cost (RM)]]+Table11419374147[[#Totals],[Total Cost (RM)]])</f>
        <v>2.2042924376050692</v>
      </c>
      <c r="C6" s="39">
        <f ca="1">A6-B6</f>
        <v>9.6957075623949311</v>
      </c>
      <c r="D6" s="40">
        <f ca="1">(C6/A6)*100</f>
        <v>81.476534137772532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IF(A10&lt;&gt;"",VLOOKUP(Table11419374147[[#This Row],[Name]], MixedIngredientTable[], 4, FALSE),"")</f>
        <v>5.5789473684210522E-3</v>
      </c>
      <c r="D10" s="13">
        <f ca="1">IF(Table11419374147[[#This Row],[Name]]&lt;&gt;"",Table11419374147[[#This Row],[Quantity]]*Table11419374147[[#This Row],[Cost Per Unit (RM)]],"")</f>
        <v>0.50210526315789472</v>
      </c>
    </row>
    <row r="11" spans="1:4">
      <c r="A11" t="s">
        <v>77</v>
      </c>
      <c r="B11" s="13">
        <v>8</v>
      </c>
      <c r="C11" s="13">
        <f ca="1">IF(A11&lt;&gt;"",VLOOKUP(Table11419374147[[#This Row],[Name]], MixedIngredientTable[], 4, FALSE),"")</f>
        <v>2.1454545454545452E-2</v>
      </c>
      <c r="D11" s="13">
        <f ca="1">IF(Table11419374147[[#This Row],[Name]]&lt;&gt;"",Table11419374147[[#This Row],[Quantity]]*Table11419374147[[#This Row],[Cost Per Unit (RM)]],"")</f>
        <v>0.17163636363636361</v>
      </c>
    </row>
    <row r="12" spans="1:4">
      <c r="D12" s="13">
        <f ca="1">SUM(Table11419374147[Total Cost (RM)])</f>
        <v>0.67374162679425831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IF(A16&lt;&gt;"",VLOOKUP(Table11735945[[#This Row],[Name]], IngredientTable[], 6, FALSE),"")</f>
        <v>4.4999999999999997E-3</v>
      </c>
      <c r="D16">
        <f>IF(Table11735945[[#This Row],[Name]]&lt;&gt;"",Table11735945[[#This Row],[Quantity]]*Table11735945[[#This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IF(A17&lt;&gt;"",VLOOKUP(Table11735945[[#This Row],[Name]], IngredientTable[], 6, FALSE),"")</f>
        <v>4.5000000000000005E-3</v>
      </c>
      <c r="D17">
        <f>IF(Table11735945[[#This Row],[Name]]&lt;&gt;"",Table11735945[[#This Row],[Quantity]]*Table11735945[[#This Row],[Cost Per Unit (RM)]],"")</f>
        <v>0.18000000000000002</v>
      </c>
    </row>
    <row r="18" spans="1:4">
      <c r="A18" t="s">
        <v>109</v>
      </c>
      <c r="B18">
        <v>7.7</v>
      </c>
      <c r="C18">
        <f>IF(A18&lt;&gt;"",VLOOKUP(Table11735945[[#This Row],[Name]], IngredientTable[], 6, FALSE),"")</f>
        <v>2.7702702702702704E-2</v>
      </c>
      <c r="D18">
        <f>IF(Table11735945[[#This Row],[Name]]&lt;&gt;"",Table11735945[[#This Row],[Quantity]]*Table11735945[[#This Row],[Cost Per Unit (RM)]],"")</f>
        <v>0.21331081081081082</v>
      </c>
    </row>
    <row r="19" spans="1:4">
      <c r="D19" s="13">
        <f>SUM(Table11735945[Total Cost (RM)])</f>
        <v>0.88831081081081076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IF(A22&lt;&gt;"",VLOOKUP(Table418361246[[#This Row],[Name]], PackagingTable[], 6, FALSE),"")</f>
        <v>0.24</v>
      </c>
      <c r="D22" s="18">
        <f>IF(Table418361246[[#This Row],[Name]]&lt;&gt;"",Table418361246[[#This Row],[Quantity]]*Table418361246[[#This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IF(A23&lt;&gt;"",VLOOKUP(Table418361246[[#This Row],[Name]], PackagingTable[], 6, FALSE),"")</f>
        <v>0.40223999999999999</v>
      </c>
      <c r="D23" s="18">
        <f>IF(Table418361246[[#This Row],[Name]]&lt;&gt;"",Table418361246[[#This Row],[Quantity]]*Table418361246[[#This Row],[Cost Per Unit (RM)]],"")</f>
        <v>0.40223999999999999</v>
      </c>
    </row>
    <row r="24" spans="1:4">
      <c r="A24" s="17"/>
      <c r="B24" s="18"/>
      <c r="C24" s="18" t="str">
        <f>IF(A24&lt;&gt;"",VLOOKUP(Table418361246[[#This Row],[Name]], PackagingTable[], 6, FALSE),"")</f>
        <v/>
      </c>
      <c r="D24" s="18" t="str">
        <f>IF(Table418361246[[#This Row],[Name]]&lt;&gt;"",Table418361246[[#This Row],[Quantity]]*Table418361246[[#This Row],[Cost Per Unit (RM)]],"")</f>
        <v/>
      </c>
    </row>
    <row r="25" spans="1:4">
      <c r="B25" s="13"/>
      <c r="C25" s="13"/>
      <c r="D25" s="13">
        <f>SUM(Table418361246[Total Cost (RM)])</f>
        <v>0.64223999999999992</v>
      </c>
    </row>
  </sheetData>
  <dataValidations count="3">
    <dataValidation type="list" allowBlank="1" showInputMessage="1" showErrorMessage="1" sqref="A10:A11" xr:uid="{EFEBD04B-D2EB-4F2A-905F-F58B5CF6DD15}">
      <formula1>INDIRECT("MixedIngredientTable[Name]")</formula1>
    </dataValidation>
    <dataValidation type="list" allowBlank="1" showInputMessage="1" showErrorMessage="1" sqref="A16:A18" xr:uid="{CB1234E1-5186-4DBB-AC6D-CF0E3868FACA}">
      <formula1>INDIRECT("IngredientTable[Name]")</formula1>
    </dataValidation>
    <dataValidation type="list" allowBlank="1" showInputMessage="1" showErrorMessage="1" sqref="A22:A24" xr:uid="{185FF501-E66E-4B6A-AD58-00A78662E6FC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BF93-D305-4B41-A3BF-974F9A64C673}">
  <sheetPr>
    <tabColor theme="6" tint="0.39997558519241921"/>
  </sheetPr>
  <dimension ref="A1:D25"/>
  <sheetViews>
    <sheetView workbookViewId="0">
      <selection activeCell="B19" sqref="B19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8" t="s">
        <v>26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11.5</v>
      </c>
      <c r="B6" s="38">
        <f ca="1">SUM(Table1173594548[[#Totals],[Total Cost (RM)]]+Table41836124649[[#Totals],[Total Cost (RM)]]+Table1141937414750[[#Totals],[Total Cost (RM)]])</f>
        <v>2.2768452631578944</v>
      </c>
      <c r="C6" s="39">
        <f ca="1">A6-B6</f>
        <v>9.2231547368421047</v>
      </c>
      <c r="D6" s="40">
        <f ca="1">(C6/A6)*100</f>
        <v>80.201345537757433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IF(A10&lt;&gt;"",VLOOKUP(Table1141937414750[[#This Row],[Name]], MixedIngredientTable[], 4, FALSE),"")</f>
        <v>5.5789473684210522E-3</v>
      </c>
      <c r="D10" s="13">
        <f ca="1">IF(Table1141937414750[[#This Row],[Name]]&lt;&gt;"",Table1141937414750[[#This Row],[Quantity]]*Table1141937414750[[#This Row],[Cost Per Unit (RM)]],"")</f>
        <v>0.50210526315789472</v>
      </c>
    </row>
    <row r="11" spans="1:4">
      <c r="C11" s="13" t="str">
        <f>IF(A11&lt;&gt;"",VLOOKUP(Table1141937414750[[#This Row],[Name]], MixedIngredientTable[], 4, FALSE),"")</f>
        <v/>
      </c>
      <c r="D11" s="13" t="str">
        <f>IF(Table1141937414750[[#This Row],[Name]]&lt;&gt;"",Table1141937414750[[#This Row],[Quantity]]*Table1141937414750[[#This Row],[Cost Per Unit (RM)]],"")</f>
        <v/>
      </c>
    </row>
    <row r="12" spans="1:4">
      <c r="D12" s="13">
        <f ca="1">SUM(Table1141937414750[Total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IF(A16&lt;&gt;"",VLOOKUP(Table1173594548[[#This Row],[Name]], IngredientTable[], 6, FALSE),"")</f>
        <v>4.4999999999999997E-3</v>
      </c>
      <c r="D16">
        <f>IF(Table1173594548[[#This Row],[Name]]&lt;&gt;"",Table1173594548[[#This Row],[Quantity]]*Table1173594548[[#This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IF(A17&lt;&gt;"",VLOOKUP(Table1173594548[[#This Row],[Name]], IngredientTable[], 6, FALSE),"")</f>
        <v>4.5000000000000005E-3</v>
      </c>
      <c r="D17">
        <f>IF(Table1173594548[[#This Row],[Name]]&lt;&gt;"",Table1173594548[[#This Row],[Quantity]]*Table1173594548[[#This Row],[Cost Per Unit (RM)]],"")</f>
        <v>0.18000000000000002</v>
      </c>
    </row>
    <row r="18" spans="1:4">
      <c r="A18" t="s">
        <v>99</v>
      </c>
      <c r="B18">
        <v>15</v>
      </c>
      <c r="C18">
        <f>IF(A18&lt;&gt;"",VLOOKUP(Table1173594548[[#This Row],[Name]], IngredientTable[], 6, FALSE),"")</f>
        <v>3.0499999999999999E-2</v>
      </c>
      <c r="D18">
        <f>IF(Table1173594548[[#This Row],[Name]]&lt;&gt;"",Table1173594548[[#This Row],[Quantity]]*Table1173594548[[#This Row],[Cost Per Unit (RM)]],"")</f>
        <v>0.45750000000000002</v>
      </c>
    </row>
    <row r="19" spans="1:4">
      <c r="D19" s="13">
        <f>SUM(Table1173594548[Total Cost (RM)])</f>
        <v>1.1324999999999998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IF(A22&lt;&gt;"",VLOOKUP(Table41836124649[[#This Row],[Name]], PackagingTable[], 6, FALSE),"")</f>
        <v>0.24</v>
      </c>
      <c r="D22" s="18">
        <f>IF(Table41836124649[[#This Row],[Name]]&lt;&gt;"",Table41836124649[[#This Row],[Quantity]]*Table41836124649[[#This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IF(A23&lt;&gt;"",VLOOKUP(Table41836124649[[#This Row],[Name]], PackagingTable[], 6, FALSE),"")</f>
        <v>0.40223999999999999</v>
      </c>
      <c r="D23" s="18">
        <f>IF(Table41836124649[[#This Row],[Name]]&lt;&gt;"",Table41836124649[[#This Row],[Quantity]]*Table41836124649[[#This Row],[Cost Per Unit (RM)]],"")</f>
        <v>0.40223999999999999</v>
      </c>
    </row>
    <row r="24" spans="1:4">
      <c r="A24" s="17"/>
      <c r="B24" s="18"/>
      <c r="C24" s="18" t="str">
        <f>IF(A24&lt;&gt;"",VLOOKUP(Table41836124649[[#This Row],[Name]], PackagingTable[], 6, FALSE),"")</f>
        <v/>
      </c>
      <c r="D24" s="18" t="str">
        <f>IF(Table41836124649[[#This Row],[Name]]&lt;&gt;"",Table41836124649[[#This Row],[Quantity]]*Table41836124649[[#This Row],[Cost Per Unit (RM)]],"")</f>
        <v/>
      </c>
    </row>
    <row r="25" spans="1:4">
      <c r="B25" s="13"/>
      <c r="C25" s="13"/>
      <c r="D25" s="13">
        <f>SUM(Table41836124649[Total Cost (RM)])</f>
        <v>0.64223999999999992</v>
      </c>
    </row>
  </sheetData>
  <dataValidations count="3">
    <dataValidation type="list" allowBlank="1" showInputMessage="1" showErrorMessage="1" sqref="A22:A24" xr:uid="{4CF7F10E-0ADB-4C22-B731-CE563D610032}">
      <formula1>INDIRECT("PackagingTable[Name]")</formula1>
    </dataValidation>
    <dataValidation type="list" allowBlank="1" showInputMessage="1" showErrorMessage="1" sqref="A16:A18" xr:uid="{11F121DF-3406-4F59-8C32-5CFE10F01E2C}">
      <formula1>INDIRECT("IngredientTable[Name]")</formula1>
    </dataValidation>
    <dataValidation type="list" allowBlank="1" showInputMessage="1" showErrorMessage="1" sqref="A10:A11" xr:uid="{27C939FB-900A-4EF9-B04B-B90FD80B6F5D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31" r:id="rId3" name="Control 3">
              <controlPr defaultSize="0" print="0" uiObject="1" autoLine="0" autoPict="0">
                <anchor moveWithCells="1" sizeWithCells="1">
                  <from>
                    <xdr:col>1</xdr:col>
                    <xdr:colOff>0</xdr:colOff>
                    <xdr:row>18</xdr:row>
                    <xdr:rowOff>0</xdr:rowOff>
                  </from>
                  <to>
                    <xdr:col>2</xdr:col>
                    <xdr:colOff>161925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3">
    <tablePart r:id="rId4"/>
    <tablePart r:id="rId5"/>
    <tablePart r:id="rId6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9F1D-69E8-488C-AD65-B9D74B1EE399}">
  <sheetPr>
    <tabColor theme="6" tint="0.39997558519241921"/>
  </sheetPr>
  <dimension ref="A1:D25"/>
  <sheetViews>
    <sheetView workbookViewId="0">
      <selection activeCell="B11" sqref="B11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8" t="s">
        <v>27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11.9</v>
      </c>
      <c r="B6" s="38">
        <f ca="1">SUM(Table117359454851[[#Totals],[Total Cost (RM)]]+Table4183612464952[[#Totals],[Total Cost (RM)]]+Table114193741475053[[#Totals],[Total Cost (RM)]])</f>
        <v>2.2042924376050692</v>
      </c>
      <c r="C6" s="39">
        <f ca="1">A6-B6</f>
        <v>9.6957075623949311</v>
      </c>
      <c r="D6" s="40">
        <f ca="1">(C6/A6)*100</f>
        <v>81.476534137772532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IF(A10&lt;&gt;"",VLOOKUP(Table114193741475053[[#This Row],[Name]], MixedIngredientTable[], 4, FALSE),"")</f>
        <v>5.5789473684210522E-3</v>
      </c>
      <c r="D10" s="13">
        <f ca="1">IF(Table114193741475053[[#This Row],[Name]]&lt;&gt;"",Table114193741475053[[#This Row],[Quantity]]*Table114193741475053[[#This Row],[Cost Per Unit (RM)]],"")</f>
        <v>0.50210526315789472</v>
      </c>
    </row>
    <row r="11" spans="1:4">
      <c r="A11" t="s">
        <v>77</v>
      </c>
      <c r="B11" s="13">
        <v>8</v>
      </c>
      <c r="C11" s="13">
        <f ca="1">IF(A11&lt;&gt;"",VLOOKUP(Table114193741475053[[#This Row],[Name]], MixedIngredientTable[], 4, FALSE),"")</f>
        <v>2.1454545454545452E-2</v>
      </c>
      <c r="D11" s="13">
        <f ca="1">IF(Table114193741475053[[#This Row],[Name]]&lt;&gt;"",Table114193741475053[[#This Row],[Quantity]]*Table114193741475053[[#This Row],[Cost Per Unit (RM)]],"")</f>
        <v>0.17163636363636361</v>
      </c>
    </row>
    <row r="12" spans="1:4">
      <c r="D12" s="13">
        <f ca="1">SUM(Table114193741475053[Total Cost (RM)])</f>
        <v>0.67374162679425831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IF(A16&lt;&gt;"",VLOOKUP(Table117359454851[[#This Row],[Name]], IngredientTable[], 6, FALSE),"")</f>
        <v>4.4999999999999997E-3</v>
      </c>
      <c r="D16">
        <f>IF(Table117359454851[[#This Row],[Name]]&lt;&gt;"",Table117359454851[[#This Row],[Quantity]]*Table117359454851[[#This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IF(A17&lt;&gt;"",VLOOKUP(Table117359454851[[#This Row],[Name]], IngredientTable[], 6, FALSE),"")</f>
        <v>4.5000000000000005E-3</v>
      </c>
      <c r="D17">
        <f>IF(Table117359454851[[#This Row],[Name]]&lt;&gt;"",Table117359454851[[#This Row],[Quantity]]*Table117359454851[[#This Row],[Cost Per Unit (RM)]],"")</f>
        <v>0.18000000000000002</v>
      </c>
    </row>
    <row r="18" spans="1:4">
      <c r="A18" t="s">
        <v>108</v>
      </c>
      <c r="B18">
        <v>7.7</v>
      </c>
      <c r="C18">
        <f>IF(A18&lt;&gt;"",VLOOKUP(Table117359454851[[#This Row],[Name]], IngredientTable[], 6, FALSE),"")</f>
        <v>2.7702702702702704E-2</v>
      </c>
      <c r="D18">
        <f>IF(Table117359454851[[#This Row],[Name]]&lt;&gt;"",Table117359454851[[#This Row],[Quantity]]*Table117359454851[[#This Row],[Cost Per Unit (RM)]],"")</f>
        <v>0.21331081081081082</v>
      </c>
    </row>
    <row r="19" spans="1:4">
      <c r="D19" s="13">
        <f>SUM(Table117359454851[Total Cost (RM)])</f>
        <v>0.88831081081081076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IF(A22&lt;&gt;"",VLOOKUP(Table4183612464952[[#This Row],[Name]], PackagingTable[], 6, FALSE),"")</f>
        <v>0.24</v>
      </c>
      <c r="D22" s="18">
        <f>IF(Table4183612464952[[#This Row],[Name]]&lt;&gt;"",Table4183612464952[[#This Row],[Quantity]]*Table4183612464952[[#This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IF(A23&lt;&gt;"",VLOOKUP(Table4183612464952[[#This Row],[Name]], PackagingTable[], 6, FALSE),"")</f>
        <v>0.40223999999999999</v>
      </c>
      <c r="D23" s="18">
        <f>IF(Table4183612464952[[#This Row],[Name]]&lt;&gt;"",Table4183612464952[[#This Row],[Quantity]]*Table4183612464952[[#This Row],[Cost Per Unit (RM)]],"")</f>
        <v>0.40223999999999999</v>
      </c>
    </row>
    <row r="24" spans="1:4">
      <c r="A24" s="17"/>
      <c r="B24" s="18"/>
      <c r="C24" s="18" t="str">
        <f>IF(A24&lt;&gt;"",VLOOKUP(Table4183612464952[[#This Row],[Name]], PackagingTable[], 6, FALSE),"")</f>
        <v/>
      </c>
      <c r="D24" s="18" t="str">
        <f>IF(Table4183612464952[[#This Row],[Name]]&lt;&gt;"",Table4183612464952[[#This Row],[Quantity]]*Table4183612464952[[#This Row],[Cost Per Unit (RM)]],"")</f>
        <v/>
      </c>
    </row>
    <row r="25" spans="1:4">
      <c r="B25" s="13"/>
      <c r="C25" s="13"/>
      <c r="D25" s="13">
        <f>SUM(Table4183612464952[Total Cost (RM)])</f>
        <v>0.64223999999999992</v>
      </c>
    </row>
  </sheetData>
  <dataValidations count="3">
    <dataValidation type="list" allowBlank="1" showInputMessage="1" showErrorMessage="1" sqref="A10:A11" xr:uid="{43F0FB0A-74F1-416F-8E89-096BA8BD50E9}">
      <formula1>INDIRECT("MixedIngredientTable[Name]")</formula1>
    </dataValidation>
    <dataValidation type="list" allowBlank="1" showInputMessage="1" showErrorMessage="1" sqref="A16:A18" xr:uid="{F1708627-811E-4354-9104-39D4412FE2AB}">
      <formula1>INDIRECT("IngredientTable[Name]")</formula1>
    </dataValidation>
    <dataValidation type="list" allowBlank="1" showInputMessage="1" showErrorMessage="1" sqref="A22:A24" xr:uid="{2F02DD74-5B6D-4C07-A447-B38DDEE29351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91A5-251C-428F-83E4-B0CEB48E8478}">
  <sheetPr>
    <tabColor theme="6" tint="0.39997558519241921"/>
  </sheetPr>
  <dimension ref="A1:D25"/>
  <sheetViews>
    <sheetView workbookViewId="0">
      <selection activeCell="B18" sqref="B18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8" t="s">
        <v>162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9.9</v>
      </c>
      <c r="B6" s="38">
        <f ca="1">SUM(Table11735945485154[[#Totals],[Total Cost (RM)]]+Table418361246495255[[#Totals],[Total Cost (RM)]]+Table11419374147505356[[#Totals],[Total Cost (RM)]])</f>
        <v>1.9909816267942584</v>
      </c>
      <c r="C6" s="39">
        <f ca="1">A6-B6</f>
        <v>7.9090183732057415</v>
      </c>
      <c r="D6" s="40">
        <f ca="1">(C6/A6)*100</f>
        <v>79.88907447682567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IF(A10&lt;&gt;"",VLOOKUP(Table11419374147505356[[#This Row],[Name]], MixedIngredientTable[], 4, FALSE),"")</f>
        <v>5.5789473684210522E-3</v>
      </c>
      <c r="D10" s="13">
        <f ca="1">IF(Table11419374147505356[[#This Row],[Name]]&lt;&gt;"",Table11419374147505356[[#This Row],[Quantity]]*Table11419374147505356[[#This Row],[Cost Per Unit (RM)]],"")</f>
        <v>0.50210526315789472</v>
      </c>
    </row>
    <row r="11" spans="1:4">
      <c r="A11" t="s">
        <v>77</v>
      </c>
      <c r="B11" s="13">
        <v>8</v>
      </c>
      <c r="C11" s="13">
        <f ca="1">IF(A11&lt;&gt;"",VLOOKUP(Table11419374147505356[[#This Row],[Name]], MixedIngredientTable[], 4, FALSE),"")</f>
        <v>2.1454545454545452E-2</v>
      </c>
      <c r="D11" s="13">
        <f ca="1">IF(Table11419374147505356[[#This Row],[Name]]&lt;&gt;"",Table11419374147505356[[#This Row],[Quantity]]*Table11419374147505356[[#This Row],[Cost Per Unit (RM)]],"")</f>
        <v>0.17163636363636361</v>
      </c>
    </row>
    <row r="12" spans="1:4">
      <c r="D12" s="13">
        <f ca="1">SUM(Table11419374147505356[Total Cost (RM)])</f>
        <v>0.67374162679425831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IF(A16&lt;&gt;"",VLOOKUP(Table11735945485154[[#This Row],[Name]], IngredientTable[], 6, FALSE),"")</f>
        <v>4.4999999999999997E-3</v>
      </c>
      <c r="D16">
        <f>IF(Table11735945485154[[#This Row],[Name]]&lt;&gt;"",Table11735945485154[[#This Row],[Quantity]]*Table11735945485154[[#This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IF(A17&lt;&gt;"",VLOOKUP(Table11735945485154[[#This Row],[Name]], IngredientTable[], 6, FALSE),"")</f>
        <v>4.5000000000000005E-3</v>
      </c>
      <c r="D17">
        <f>IF(Table11735945485154[[#This Row],[Name]]&lt;&gt;"",Table11735945485154[[#This Row],[Quantity]]*Table11735945485154[[#This Row],[Cost Per Unit (RM)]],"")</f>
        <v>0.18000000000000002</v>
      </c>
    </row>
    <row r="18" spans="1:4">
      <c r="C18" t="str">
        <f>IF(A18&lt;&gt;"",VLOOKUP(Table11735945485154[[#This Row],[Name]], IngredientTable[], 6, FALSE),"")</f>
        <v/>
      </c>
      <c r="D18" t="str">
        <f>IF(Table11735945485154[[#This Row],[Name]]&lt;&gt;"",Table11735945485154[[#This Row],[Quantity]]*Table11735945485154[[#This Row],[Cost Per Unit (RM)]],"")</f>
        <v/>
      </c>
    </row>
    <row r="19" spans="1:4">
      <c r="D19" s="13">
        <f>SUM(Table11735945485154[Total Cost (RM)])</f>
        <v>0.67499999999999993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IF(A22&lt;&gt;"",VLOOKUP(Table418361246495255[[#This Row],[Name]], PackagingTable[], 6, FALSE),"")</f>
        <v>0.24</v>
      </c>
      <c r="D22" s="18">
        <f>IF(Table418361246495255[[#This Row],[Name]]&lt;&gt;"",Table418361246495255[[#This Row],[Quantity]]*Table418361246495255[[#This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IF(A23&lt;&gt;"",VLOOKUP(Table418361246495255[[#This Row],[Name]], PackagingTable[], 6, FALSE),"")</f>
        <v>0.40223999999999999</v>
      </c>
      <c r="D23" s="18">
        <f>IF(Table418361246495255[[#This Row],[Name]]&lt;&gt;"",Table418361246495255[[#This Row],[Quantity]]*Table418361246495255[[#This Row],[Cost Per Unit (RM)]],"")</f>
        <v>0.40223999999999999</v>
      </c>
    </row>
    <row r="24" spans="1:4">
      <c r="A24" s="17"/>
      <c r="B24" s="18"/>
      <c r="C24" s="18" t="str">
        <f>IF(A24&lt;&gt;"",VLOOKUP(Table418361246495255[[#This Row],[Name]], PackagingTable[], 6, FALSE),"")</f>
        <v/>
      </c>
      <c r="D24" s="18" t="str">
        <f>IF(Table418361246495255[[#This Row],[Name]]&lt;&gt;"",Table418361246495255[[#This Row],[Quantity]]*Table418361246495255[[#This Row],[Cost Per Unit (RM)]],"")</f>
        <v/>
      </c>
    </row>
    <row r="25" spans="1:4">
      <c r="B25" s="13"/>
      <c r="C25" s="13"/>
      <c r="D25" s="13">
        <f>SUM(Table418361246495255[Total Cost (RM)])</f>
        <v>0.64223999999999992</v>
      </c>
    </row>
  </sheetData>
  <dataValidations count="3">
    <dataValidation type="list" allowBlank="1" showInputMessage="1" showErrorMessage="1" sqref="A22:A24" xr:uid="{9A505399-0386-4A0B-863E-F90D6917E082}">
      <formula1>INDIRECT("PackagingTable[Name]")</formula1>
    </dataValidation>
    <dataValidation type="list" allowBlank="1" showInputMessage="1" showErrorMessage="1" sqref="A16:A18" xr:uid="{826C583B-0A4C-4A81-8C7B-A5A70DA44669}">
      <formula1>INDIRECT("IngredientTable[Name]")</formula1>
    </dataValidation>
    <dataValidation type="list" allowBlank="1" showInputMessage="1" showErrorMessage="1" sqref="A10:A11" xr:uid="{41C78EBD-37AB-4D74-8735-A3EDD979D89C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F10B-187B-4CEF-806B-D9C8F8483FFA}">
  <sheetPr>
    <tabColor theme="6" tint="0.39997558519241921"/>
  </sheetPr>
  <dimension ref="A1:D26"/>
  <sheetViews>
    <sheetView workbookViewId="0">
      <selection activeCell="B2" sqref="B2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159</v>
      </c>
    </row>
    <row r="2" spans="1:4">
      <c r="A2" s="1" t="s">
        <v>83</v>
      </c>
      <c r="B2" s="8" t="s">
        <v>29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10.9</v>
      </c>
      <c r="B6" s="38">
        <f ca="1">SUM(Table117359454851545760[[#Totals],[Total Cost (RM)]]+Table4183612464952555861[[#Totals],[Total Cost (RM)]]+Table114193741475053565962[[#Totals],[Total Cost (RM)]])</f>
        <v>1.886992321981424</v>
      </c>
      <c r="C6" s="39">
        <f ca="1">A6-B6</f>
        <v>9.0130076780185764</v>
      </c>
      <c r="D6" s="40">
        <f ca="1">(C6/A6)*100</f>
        <v>82.688143835032818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IF(A10&lt;&gt;"",VLOOKUP(Table114193741475053565962[[#This Row],[Name]], MixedIngredientTable[], 4, FALSE),"")</f>
        <v>5.5789473684210522E-3</v>
      </c>
      <c r="D10" s="13">
        <f ca="1">IF(Table114193741475053565962[[#This Row],[Name]]&lt;&gt;"",Table114193741475053565962[[#This Row],[Quantity]]*Table114193741475053565962[[#This Row],[Cost Per Unit (RM)]],"")</f>
        <v>0.50210526315789472</v>
      </c>
    </row>
    <row r="11" spans="1:4">
      <c r="A11" t="s">
        <v>78</v>
      </c>
      <c r="B11" s="13">
        <v>10</v>
      </c>
      <c r="C11" s="13">
        <f ca="1">IF(A11&lt;&gt;"",VLOOKUP(Table114193741475053565962[[#This Row],[Name]], MixedIngredientTable[], 4, FALSE),"")</f>
        <v>6.7647058823529409E-3</v>
      </c>
      <c r="D11" s="13">
        <f ca="1">IF(Table114193741475053565962[[#This Row],[Name]]&lt;&gt;"",Table114193741475053565962[[#This Row],[Quantity]]*Table114193741475053565962[[#This Row],[Cost Per Unit (RM)]],"")</f>
        <v>6.7647058823529407E-2</v>
      </c>
    </row>
    <row r="12" spans="1:4">
      <c r="D12" s="13">
        <f ca="1">SUM(Table114193741475053565962[Total Cost (RM)])</f>
        <v>0.56975232198142411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IF(A16&lt;&gt;"",VLOOKUP(Table117359454851545760[[#This Row],[Name]], IngredientTable[], 6, FALSE),"")</f>
        <v>4.4999999999999997E-3</v>
      </c>
      <c r="D16">
        <f>IF(Table117359454851545760[[#This Row],[Name]]&lt;&gt;"",Table117359454851545760[[#This Row],[Quantity]]*Table117359454851545760[[#This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IF(A17&lt;&gt;"",VLOOKUP(Table117359454851545760[[#This Row],[Name]], IngredientTable[], 6, FALSE),"")</f>
        <v>4.5000000000000005E-3</v>
      </c>
      <c r="D17">
        <f>IF(Table117359454851545760[[#This Row],[Name]]&lt;&gt;"",Table117359454851545760[[#This Row],[Quantity]]*Table117359454851545760[[#This Row],[Cost Per Unit (RM)]],"")</f>
        <v>0.18000000000000002</v>
      </c>
    </row>
    <row r="18" spans="1:4">
      <c r="C18" t="str">
        <f>IF(A18&lt;&gt;"",VLOOKUP(Table117359454851545760[[#This Row],[Name]], IngredientTable[], 6, FALSE),"")</f>
        <v/>
      </c>
      <c r="D18" t="str">
        <f>IF(Table117359454851545760[[#This Row],[Name]]&lt;&gt;"",Table117359454851545760[[#This Row],[Quantity]]*Table117359454851545760[[#This Row],[Cost Per Unit (RM)]],"")</f>
        <v/>
      </c>
    </row>
    <row r="19" spans="1:4">
      <c r="C19" t="str">
        <f>IF(A19&lt;&gt;"",VLOOKUP(Table117359454851545760[[#This Row],[Name]], IngredientTable[], 6, FALSE),"")</f>
        <v/>
      </c>
      <c r="D19" t="str">
        <f>IF(Table117359454851545760[[#This Row],[Name]]&lt;&gt;"",Table117359454851545760[[#This Row],[Quantity]]*Table117359454851545760[[#This Row],[Cost Per Unit (RM)]],"")</f>
        <v/>
      </c>
    </row>
    <row r="20" spans="1:4">
      <c r="D20" s="13">
        <f>SUM(Table117359454851545760[Total Cost (RM)])</f>
        <v>0.67499999999999993</v>
      </c>
    </row>
    <row r="21" spans="1:4">
      <c r="A21" s="1" t="s">
        <v>161</v>
      </c>
    </row>
    <row r="22" spans="1:4">
      <c r="A22" s="7" t="s">
        <v>7</v>
      </c>
      <c r="B22" s="5" t="s">
        <v>86</v>
      </c>
      <c r="C22" s="13" t="s">
        <v>74</v>
      </c>
      <c r="D22" s="13" t="s">
        <v>10</v>
      </c>
    </row>
    <row r="23" spans="1:4">
      <c r="A23" s="17" t="s">
        <v>143</v>
      </c>
      <c r="B23" s="18">
        <v>1</v>
      </c>
      <c r="C23" s="18">
        <f>IF(A23&lt;&gt;"",VLOOKUP(Table4183612464952555861[[#This Row],[Name]], PackagingTable[], 6, FALSE),"")</f>
        <v>0.24</v>
      </c>
      <c r="D23" s="18">
        <f>IF(Table4183612464952555861[[#This Row],[Name]]&lt;&gt;"",Table4183612464952555861[[#This Row],[Quantity]]*Table4183612464952555861[[#This Row],[Cost Per Unit (RM)]],"")</f>
        <v>0.24</v>
      </c>
    </row>
    <row r="24" spans="1:4">
      <c r="A24" s="17" t="s">
        <v>141</v>
      </c>
      <c r="B24" s="18">
        <v>1</v>
      </c>
      <c r="C24" s="18">
        <f>IF(A24&lt;&gt;"",VLOOKUP(Table4183612464952555861[[#This Row],[Name]], PackagingTable[], 6, FALSE),"")</f>
        <v>0.40223999999999999</v>
      </c>
      <c r="D24" s="18">
        <f>IF(Table4183612464952555861[[#This Row],[Name]]&lt;&gt;"",Table4183612464952555861[[#This Row],[Quantity]]*Table4183612464952555861[[#This Row],[Cost Per Unit (RM)]],"")</f>
        <v>0.40223999999999999</v>
      </c>
    </row>
    <row r="25" spans="1:4">
      <c r="A25" s="17"/>
      <c r="B25" s="18"/>
      <c r="C25" s="18" t="str">
        <f>IF(A25&lt;&gt;"",VLOOKUP(Table4183612464952555861[[#This Row],[Name]], PackagingTable[], 6, FALSE),"")</f>
        <v/>
      </c>
      <c r="D25" s="18" t="str">
        <f>IF(Table4183612464952555861[[#This Row],[Name]]&lt;&gt;"",Table4183612464952555861[[#This Row],[Quantity]]*Table4183612464952555861[[#This Row],[Cost Per Unit (RM)]],"")</f>
        <v/>
      </c>
    </row>
    <row r="26" spans="1:4">
      <c r="B26" s="13"/>
      <c r="C26" s="13"/>
      <c r="D26" s="13">
        <f>SUM(Table4183612464952555861[Total Cost (RM)])</f>
        <v>0.64223999999999992</v>
      </c>
    </row>
  </sheetData>
  <dataValidations count="3">
    <dataValidation type="list" allowBlank="1" showInputMessage="1" showErrorMessage="1" sqref="A23:A25" xr:uid="{854BA5EB-83E0-4753-B8EF-4BC45BA357DE}">
      <formula1>INDIRECT("PackagingTable[Name]")</formula1>
    </dataValidation>
    <dataValidation type="list" allowBlank="1" showInputMessage="1" showErrorMessage="1" sqref="A16:A19" xr:uid="{44F4C257-50FC-4AC7-A634-2653ECF6B609}">
      <formula1>INDIRECT("IngredientTable[Name]")</formula1>
    </dataValidation>
    <dataValidation type="list" allowBlank="1" showInputMessage="1" showErrorMessage="1" sqref="A10:A11" xr:uid="{C2A32D7A-8E82-48F9-8349-4694EBAC2313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1FF9-9AFD-42B0-A83C-E56ED00E0E83}">
  <sheetPr>
    <tabColor theme="6" tint="0.39997558519241921"/>
  </sheetPr>
  <dimension ref="A1:D26"/>
  <sheetViews>
    <sheetView workbookViewId="0">
      <selection activeCell="A7" sqref="A7"/>
    </sheetView>
  </sheetViews>
  <sheetFormatPr defaultColWidth="11" defaultRowHeight="15.7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163</v>
      </c>
    </row>
    <row r="2" spans="1:4">
      <c r="A2" s="1" t="s">
        <v>83</v>
      </c>
      <c r="B2" s="8" t="s">
        <v>30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10.9</v>
      </c>
      <c r="B6" s="38">
        <f ca="1">SUM(Table117359454851545760133[[#Totals],[Total Cost (RM)]]+Table4183612464952555861134[[#Totals],[Total Cost (RM)]]+Table114193741475053565962135[[#Totals],[Total Cost (RM)]])</f>
        <v>1.9709242105263156</v>
      </c>
      <c r="C6" s="39">
        <f ca="1">A6-B6</f>
        <v>8.9290757894736856</v>
      </c>
      <c r="D6" s="40">
        <f ca="1">(C6/A6)*100</f>
        <v>81.9181265089329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IF(A10&lt;&gt;"",VLOOKUP(Table114193741475053565962135[[#This Row],[Name]], MixedIngredientTable[], 4, FALSE),"")</f>
        <v>5.5789473684210522E-3</v>
      </c>
      <c r="D10" s="13">
        <f ca="1">IF(Table114193741475053565962135[[#This Row],[Name]]&lt;&gt;"",Table114193741475053565962135[[#This Row],[Quantity]]*Table114193741475053565962135[[#This Row],[Cost Per Unit (RM)]],"")</f>
        <v>0.50210526315789472</v>
      </c>
    </row>
    <row r="11" spans="1:4">
      <c r="A11" t="s">
        <v>76</v>
      </c>
      <c r="B11" s="13">
        <v>10</v>
      </c>
      <c r="C11" s="13">
        <f ca="1">IF(A11&lt;&gt;"",VLOOKUP(Table114193741475053565962135[[#This Row],[Name]], MixedIngredientTable[], 4, FALSE),"")</f>
        <v>1.5157894736842105E-2</v>
      </c>
      <c r="D11" s="13">
        <f ca="1">IF(Table114193741475053565962135[[#This Row],[Name]]&lt;&gt;"",Table114193741475053565962135[[#This Row],[Quantity]]*Table114193741475053565962135[[#This Row],[Cost Per Unit (RM)]],"")</f>
        <v>0.15157894736842104</v>
      </c>
    </row>
    <row r="12" spans="1:4">
      <c r="D12" s="13">
        <f ca="1">SUM(Table114193741475053565962135[Total Cost (RM)])</f>
        <v>0.65368421052631576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IF(A16&lt;&gt;"",VLOOKUP(Table117359454851545760133[[#This Row],[Name]], IngredientTable[], 6, FALSE),"")</f>
        <v>4.4999999999999997E-3</v>
      </c>
      <c r="D16">
        <f>IF(Table117359454851545760133[[#This Row],[Name]]&lt;&gt;"",Table117359454851545760133[[#This Row],[Quantity]]*Table117359454851545760133[[#This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IF(A17&lt;&gt;"",VLOOKUP(Table117359454851545760133[[#This Row],[Name]], IngredientTable[], 6, FALSE),"")</f>
        <v>4.5000000000000005E-3</v>
      </c>
      <c r="D17">
        <f>IF(Table117359454851545760133[[#This Row],[Name]]&lt;&gt;"",Table117359454851545760133[[#This Row],[Quantity]]*Table117359454851545760133[[#This Row],[Cost Per Unit (RM)]],"")</f>
        <v>0.18000000000000002</v>
      </c>
    </row>
    <row r="18" spans="1:4">
      <c r="C18" t="str">
        <f>IF(A18&lt;&gt;"",VLOOKUP(Table117359454851545760133[[#This Row],[Name]], IngredientTable[], 6, FALSE),"")</f>
        <v/>
      </c>
      <c r="D18" t="str">
        <f>IF(Table117359454851545760133[[#This Row],[Name]]&lt;&gt;"",Table117359454851545760133[[#This Row],[Quantity]]*Table117359454851545760133[[#This Row],[Cost Per Unit (RM)]],"")</f>
        <v/>
      </c>
    </row>
    <row r="19" spans="1:4">
      <c r="C19" t="str">
        <f>IF(A19&lt;&gt;"",VLOOKUP(Table117359454851545760133[[#This Row],[Name]], IngredientTable[], 6, FALSE),"")</f>
        <v/>
      </c>
      <c r="D19" t="str">
        <f>IF(Table117359454851545760133[[#This Row],[Name]]&lt;&gt;"",Table117359454851545760133[[#This Row],[Quantity]]*Table117359454851545760133[[#This Row],[Cost Per Unit (RM)]],"")</f>
        <v/>
      </c>
    </row>
    <row r="20" spans="1:4">
      <c r="D20" s="13">
        <f>SUM(Table117359454851545760133[Total Cost (RM)])</f>
        <v>0.67499999999999993</v>
      </c>
    </row>
    <row r="21" spans="1:4">
      <c r="A21" s="1" t="s">
        <v>161</v>
      </c>
    </row>
    <row r="22" spans="1:4">
      <c r="A22" s="7" t="s">
        <v>7</v>
      </c>
      <c r="B22" s="5" t="s">
        <v>86</v>
      </c>
      <c r="C22" s="13" t="s">
        <v>74</v>
      </c>
      <c r="D22" s="13" t="s">
        <v>10</v>
      </c>
    </row>
    <row r="23" spans="1:4">
      <c r="A23" s="17" t="s">
        <v>143</v>
      </c>
      <c r="B23" s="18">
        <v>1</v>
      </c>
      <c r="C23" s="18">
        <f>IF(A23&lt;&gt;"",VLOOKUP(Table4183612464952555861134[[#This Row],[Name]], PackagingTable[], 6, FALSE),"")</f>
        <v>0.24</v>
      </c>
      <c r="D23" s="18">
        <f>IF(Table4183612464952555861134[[#This Row],[Name]]&lt;&gt;"",Table4183612464952555861134[[#This Row],[Quantity]]*Table4183612464952555861134[[#This Row],[Cost Per Unit (RM)]],"")</f>
        <v>0.24</v>
      </c>
    </row>
    <row r="24" spans="1:4">
      <c r="A24" s="17" t="s">
        <v>141</v>
      </c>
      <c r="B24" s="18">
        <v>1</v>
      </c>
      <c r="C24" s="18">
        <f>IF(A24&lt;&gt;"",VLOOKUP(Table4183612464952555861134[[#This Row],[Name]], PackagingTable[], 6, FALSE),"")</f>
        <v>0.40223999999999999</v>
      </c>
      <c r="D24" s="18">
        <f>IF(Table4183612464952555861134[[#This Row],[Name]]&lt;&gt;"",Table4183612464952555861134[[#This Row],[Quantity]]*Table4183612464952555861134[[#This Row],[Cost Per Unit (RM)]],"")</f>
        <v>0.40223999999999999</v>
      </c>
    </row>
    <row r="25" spans="1:4">
      <c r="A25" s="17"/>
      <c r="B25" s="18"/>
      <c r="C25" s="18" t="str">
        <f>IF(A25&lt;&gt;"",VLOOKUP(Table4183612464952555861134[[#This Row],[Name]], PackagingTable[], 6, FALSE),"")</f>
        <v/>
      </c>
      <c r="D25" s="18" t="str">
        <f>IF(Table4183612464952555861134[[#This Row],[Name]]&lt;&gt;"",Table4183612464952555861134[[#This Row],[Quantity]]*Table4183612464952555861134[[#This Row],[Cost Per Unit (RM)]],"")</f>
        <v/>
      </c>
    </row>
    <row r="26" spans="1:4">
      <c r="B26" s="13"/>
      <c r="C26" s="13"/>
      <c r="D26" s="13">
        <f>SUM(Table4183612464952555861134[Total Cost (RM)])</f>
        <v>0.64223999999999992</v>
      </c>
    </row>
  </sheetData>
  <dataValidations count="3">
    <dataValidation type="list" allowBlank="1" showInputMessage="1" showErrorMessage="1" sqref="A10:A11" xr:uid="{3BD7E044-8A25-46DB-B524-070A60DBD741}">
      <formula1>INDIRECT("MixedIngredientTable[Name]")</formula1>
    </dataValidation>
    <dataValidation type="list" allowBlank="1" showInputMessage="1" showErrorMessage="1" sqref="A16:A19" xr:uid="{9B5CA0E9-B0C2-48CF-BB14-93B4B2AC5CAE}">
      <formula1>INDIRECT("IngredientTable[Name]")</formula1>
    </dataValidation>
    <dataValidation type="list" allowBlank="1" showInputMessage="1" showErrorMessage="1" sqref="A23:A25" xr:uid="{41AEBD74-19D2-4B2B-B65F-1BB3CA2C33B0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6420-2822-434E-A554-9D4D6C41E3D4}">
  <sheetPr>
    <tabColor theme="6" tint="0.39997558519241921"/>
  </sheetPr>
  <dimension ref="A1:D26"/>
  <sheetViews>
    <sheetView workbookViewId="0">
      <selection activeCell="B2" sqref="B2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164</v>
      </c>
    </row>
    <row r="2" spans="1:4">
      <c r="A2" s="1" t="s">
        <v>83</v>
      </c>
      <c r="B2" s="8" t="s">
        <v>165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10.9</v>
      </c>
      <c r="B6" s="38">
        <f ca="1">SUM(Table11735945485154576063[[#Totals],[Total Cost (RM)]]+Table418361246495255586164[[#Totals],[Total Cost (RM)]]+Table11419374147505356596265[[#Totals],[Total Cost (RM)]])</f>
        <v>3.2047538345864668</v>
      </c>
      <c r="C6" s="39">
        <f ca="1">A6-B6</f>
        <v>7.6952461654135336</v>
      </c>
      <c r="D6" s="40">
        <f ca="1">(C6/A6)*100</f>
        <v>70.598588673518663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IF(A10&lt;&gt;"",VLOOKUP(Table11419374147505356596265[[#This Row],[Name]], MixedIngredientTable[], 4, FALSE),"")</f>
        <v>5.5789473684210522E-3</v>
      </c>
      <c r="D10" s="13">
        <f ca="1">IF(Table11419374147505356596265[[#This Row],[Name]]&lt;&gt;"",Table11419374147505356596265[[#This Row],[Quantity]]*Table11419374147505356596265[[#This Row],[Cost Per Unit (RM)]],"")</f>
        <v>0.50210526315789472</v>
      </c>
    </row>
    <row r="11" spans="1:4">
      <c r="C11" s="13" t="str">
        <f>IF(A11&lt;&gt;"",VLOOKUP(Table11419374147505356596265[[#This Row],[Name]], MixedIngredientTable[], 4, FALSE),"")</f>
        <v/>
      </c>
      <c r="D11" s="13" t="str">
        <f>IF(Table11419374147505356596265[[#This Row],[Name]]&lt;&gt;"",Table11419374147505356596265[[#This Row],[Quantity]]*Table11419374147505356596265[[#This Row],[Cost Per Unit (RM)]],"")</f>
        <v/>
      </c>
    </row>
    <row r="12" spans="1:4">
      <c r="D12" s="13">
        <f ca="1">SUM(Table11419374147505356596265[Total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IF(A16&lt;&gt;"",VLOOKUP(Table11735945485154576063[[#This Row],[Name]], IngredientTable[], 6, FALSE),"")</f>
        <v>4.4999999999999997E-3</v>
      </c>
      <c r="D16">
        <f>IF(Table11735945485154576063[[#This Row],[Name]]&lt;&gt;"",Table11735945485154576063[[#This Row],[Quantity]]*Table11735945485154576063[[#This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IF(A17&lt;&gt;"",VLOOKUP(Table11735945485154576063[[#This Row],[Name]], IngredientTable[], 6, FALSE),"")</f>
        <v>4.5000000000000005E-3</v>
      </c>
      <c r="D17">
        <f>IF(Table11735945485154576063[[#This Row],[Name]]&lt;&gt;"",Table11735945485154576063[[#This Row],[Quantity]]*Table11735945485154576063[[#This Row],[Cost Per Unit (RM)]],"")</f>
        <v>0.18000000000000002</v>
      </c>
    </row>
    <row r="18" spans="1:4">
      <c r="A18" t="s">
        <v>104</v>
      </c>
      <c r="B18">
        <v>10</v>
      </c>
      <c r="C18">
        <f>IF(A18&lt;&gt;"",VLOOKUP(Table11735945485154576063[[#This Row],[Name]], IngredientTable[], 6, FALSE),"")</f>
        <v>1.0398000000000001E-2</v>
      </c>
      <c r="D18">
        <f>IF(Table11735945485154576063[[#This Row],[Name]]&lt;&gt;"",Table11735945485154576063[[#This Row],[Quantity]]*Table11735945485154576063[[#This Row],[Cost Per Unit (RM)]],"")</f>
        <v>0.10398000000000002</v>
      </c>
    </row>
    <row r="19" spans="1:4">
      <c r="A19" t="s">
        <v>60</v>
      </c>
      <c r="B19">
        <v>130</v>
      </c>
      <c r="C19">
        <f>IF(A19&lt;&gt;"",VLOOKUP(Table11735945485154576063[[#This Row],[Name]], IngredientTable[], 6, FALSE),"")</f>
        <v>9.8571428571428577E-3</v>
      </c>
      <c r="D19">
        <f>IF(Table11735945485154576063[[#This Row],[Name]]&lt;&gt;"",Table11735945485154576063[[#This Row],[Quantity]]*Table11735945485154576063[[#This Row],[Cost Per Unit (RM)]],"")</f>
        <v>1.2814285714285716</v>
      </c>
    </row>
    <row r="20" spans="1:4">
      <c r="D20" s="13">
        <f>SUM(Table11735945485154576063[Total Cost (RM)])</f>
        <v>2.0604085714285718</v>
      </c>
    </row>
    <row r="21" spans="1:4">
      <c r="A21" s="1" t="s">
        <v>161</v>
      </c>
    </row>
    <row r="22" spans="1:4">
      <c r="A22" s="7" t="s">
        <v>7</v>
      </c>
      <c r="B22" s="5" t="s">
        <v>86</v>
      </c>
      <c r="C22" s="13" t="s">
        <v>74</v>
      </c>
      <c r="D22" s="13" t="s">
        <v>10</v>
      </c>
    </row>
    <row r="23" spans="1:4">
      <c r="A23" s="17" t="s">
        <v>143</v>
      </c>
      <c r="B23" s="18">
        <v>1</v>
      </c>
      <c r="C23" s="18">
        <f>IF(A23&lt;&gt;"",VLOOKUP(Table418361246495255586164[[#This Row],[Name]], PackagingTable[], 6, FALSE),"")</f>
        <v>0.24</v>
      </c>
      <c r="D23" s="18">
        <f>IF(Table418361246495255586164[[#This Row],[Name]]&lt;&gt;"",Table418361246495255586164[[#This Row],[Quantity]]*Table418361246495255586164[[#This Row],[Cost Per Unit (RM)]],"")</f>
        <v>0.24</v>
      </c>
    </row>
    <row r="24" spans="1:4">
      <c r="A24" s="17" t="s">
        <v>141</v>
      </c>
      <c r="B24" s="18">
        <v>1</v>
      </c>
      <c r="C24" s="18">
        <f>IF(A24&lt;&gt;"",VLOOKUP(Table418361246495255586164[[#This Row],[Name]], PackagingTable[], 6, FALSE),"")</f>
        <v>0.40223999999999999</v>
      </c>
      <c r="D24" s="18">
        <f>IF(Table418361246495255586164[[#This Row],[Name]]&lt;&gt;"",Table418361246495255586164[[#This Row],[Quantity]]*Table418361246495255586164[[#This Row],[Cost Per Unit (RM)]],"")</f>
        <v>0.40223999999999999</v>
      </c>
    </row>
    <row r="25" spans="1:4">
      <c r="A25" s="17"/>
      <c r="B25" s="18"/>
      <c r="C25" s="18" t="str">
        <f>IF(A25&lt;&gt;"",VLOOKUP(Table418361246495255586164[[#This Row],[Name]], PackagingTable[], 6, FALSE),"")</f>
        <v/>
      </c>
      <c r="D25" s="18" t="str">
        <f>IF(Table418361246495255586164[[#This Row],[Name]]&lt;&gt;"",Table418361246495255586164[[#This Row],[Quantity]]*Table418361246495255586164[[#This Row],[Cost Per Unit (RM)]],"")</f>
        <v/>
      </c>
    </row>
    <row r="26" spans="1:4">
      <c r="B26" s="13"/>
      <c r="C26" s="13"/>
      <c r="D26" s="13">
        <f>SUM(Table418361246495255586164[Total Cost (RM)])</f>
        <v>0.64223999999999992</v>
      </c>
    </row>
  </sheetData>
  <dataValidations count="3">
    <dataValidation type="list" allowBlank="1" showInputMessage="1" showErrorMessage="1" sqref="A10:A11" xr:uid="{CF386681-7857-4AB2-B061-738824FF6DC0}">
      <formula1>INDIRECT("MixedIngredientTable[Name]")</formula1>
    </dataValidation>
    <dataValidation type="list" allowBlank="1" showInputMessage="1" showErrorMessage="1" sqref="A16:A19" xr:uid="{484C7956-8419-4D99-A504-AE146A7F5679}">
      <formula1>INDIRECT("IngredientTable[Name]")</formula1>
    </dataValidation>
    <dataValidation type="list" allowBlank="1" showInputMessage="1" showErrorMessage="1" sqref="A23:A25" xr:uid="{DBDA4B2C-045C-4337-A806-AD154504D120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C856D-7118-4474-9EA6-3AEE7370C23D}">
  <sheetPr>
    <tabColor theme="6" tint="0.39997558519241921"/>
  </sheetPr>
  <dimension ref="A1:D28"/>
  <sheetViews>
    <sheetView workbookViewId="0">
      <selection activeCell="B2" sqref="B2"/>
    </sheetView>
  </sheetViews>
  <sheetFormatPr defaultColWidth="11" defaultRowHeight="16.5"/>
  <cols>
    <col min="1" max="1" width="17.625" bestFit="1" customWidth="1"/>
    <col min="2" max="3" width="21.5" bestFit="1" customWidth="1"/>
    <col min="4" max="4" width="18.875" bestFit="1" customWidth="1"/>
  </cols>
  <sheetData>
    <row r="1" spans="1:4">
      <c r="A1" s="1" t="s">
        <v>158</v>
      </c>
      <c r="B1" s="1" t="s">
        <v>166</v>
      </c>
    </row>
    <row r="2" spans="1:4">
      <c r="A2" s="1" t="s">
        <v>83</v>
      </c>
      <c r="B2" s="8" t="s">
        <v>167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12.9</v>
      </c>
      <c r="B6" s="38">
        <f ca="1">SUM(Table1173594548515457[[#Totals],[Total Cost (RM)]]+Table41836124649525558[[#Totals],[Total Cost (RM)]]+Table1141937414750535659[[#Totals],[Total Cost (RM)]])</f>
        <v>3.2724008934099951</v>
      </c>
      <c r="C6" s="39">
        <f ca="1">A6-B6</f>
        <v>9.6275991065900044</v>
      </c>
      <c r="D6" s="40">
        <f ca="1">(C6/A6)*100</f>
        <v>74.632551213875999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IF(A10&lt;&gt;"",VLOOKUP(Table1141937414750535659[[#This Row],[Name]], MixedIngredientTable[], 4, FALSE),"")</f>
        <v>5.5789473684210522E-3</v>
      </c>
      <c r="D10" s="13">
        <f ca="1">IF(Table1141937414750535659[[#This Row],[Name]]&lt;&gt;"",Table1141937414750535659[[#This Row],[Quantity]]*Table1141937414750535659[[#This Row],[Cost Per Unit (RM)]],"")</f>
        <v>0.50210526315789472</v>
      </c>
    </row>
    <row r="11" spans="1:4">
      <c r="A11" t="s">
        <v>78</v>
      </c>
      <c r="B11" s="13">
        <v>10</v>
      </c>
      <c r="C11" s="13">
        <f ca="1">IF(A11&lt;&gt;"",VLOOKUP(Table1141937414750535659[[#This Row],[Name]], MixedIngredientTable[], 4, FALSE),"")</f>
        <v>6.7647058823529409E-3</v>
      </c>
      <c r="D11" s="13">
        <f ca="1">IF(Table1141937414750535659[[#This Row],[Name]]&lt;&gt;"",Table1141937414750535659[[#This Row],[Quantity]]*Table1141937414750535659[[#This Row],[Cost Per Unit (RM)]],"")</f>
        <v>6.7647058823529407E-2</v>
      </c>
    </row>
    <row r="12" spans="1:4">
      <c r="D12" s="13">
        <f ca="1">SUM(Table1141937414750535659[Total Cost (RM)])</f>
        <v>0.56975232198142411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IF(A16&lt;&gt;"",VLOOKUP(Table1173594548515457[[#This Row],[Name]], IngredientTable[], 6, FALSE),"")</f>
        <v>4.4999999999999997E-3</v>
      </c>
      <c r="D16">
        <f>IF(Table1173594548515457[[#This Row],[Name]]&lt;&gt;"",Table1173594548515457[[#This Row],[Quantity]]*Table1173594548515457[[#This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IF(A17&lt;&gt;"",VLOOKUP(Table1173594548515457[[#This Row],[Name]], IngredientTable[], 6, FALSE),"")</f>
        <v>4.5000000000000005E-3</v>
      </c>
      <c r="D17">
        <f>IF(Table1173594548515457[[#This Row],[Name]]&lt;&gt;"",Table1173594548515457[[#This Row],[Quantity]]*Table1173594548515457[[#This Row],[Cost Per Unit (RM)]],"")</f>
        <v>0.18000000000000002</v>
      </c>
    </row>
    <row r="18" spans="1:4">
      <c r="A18" t="s">
        <v>60</v>
      </c>
      <c r="B18">
        <v>130</v>
      </c>
      <c r="C18">
        <f>IF(A18&lt;&gt;"",VLOOKUP(Table1173594548515457[[#This Row],[Name]], IngredientTable[], 6, FALSE),"")</f>
        <v>9.8571428571428577E-3</v>
      </c>
      <c r="D18">
        <f>IF(Table1173594548515457[[#This Row],[Name]]&lt;&gt;"",Table1173594548515457[[#This Row],[Quantity]]*Table1173594548515457[[#This Row],[Cost Per Unit (RM)]],"")</f>
        <v>1.2814285714285716</v>
      </c>
    </row>
    <row r="19" spans="1:4">
      <c r="A19" t="s">
        <v>104</v>
      </c>
      <c r="B19">
        <v>10</v>
      </c>
      <c r="C19">
        <f>IF(A19&lt;&gt;"",VLOOKUP(Table1173594548515457[[#This Row],[Name]], IngredientTable[], 6, FALSE),"")</f>
        <v>1.0398000000000001E-2</v>
      </c>
      <c r="D19">
        <f>IF(Table1173594548515457[[#This Row],[Name]]&lt;&gt;"",Table1173594548515457[[#This Row],[Quantity]]*Table1173594548515457[[#This Row],[Cost Per Unit (RM)]],"")</f>
        <v>0.10398000000000002</v>
      </c>
    </row>
    <row r="20" spans="1:4">
      <c r="C20" t="str">
        <f>IF(A20&lt;&gt;"",VLOOKUP(Table1173594548515457[[#This Row],[Name]], IngredientTable[], 6, FALSE),"")</f>
        <v/>
      </c>
      <c r="D20" t="str">
        <f>IF(Table1173594548515457[[#This Row],[Name]]&lt;&gt;"",Table1173594548515457[[#This Row],[Quantity]]*Table1173594548515457[[#This Row],[Cost Per Unit (RM)]],"")</f>
        <v/>
      </c>
    </row>
    <row r="21" spans="1:4">
      <c r="C21" t="str">
        <f>IF(A21&lt;&gt;"",VLOOKUP(Table1173594548515457[[#This Row],[Name]], IngredientTable[], 6, FALSE),"")</f>
        <v/>
      </c>
      <c r="D21" t="str">
        <f>IF(Table1173594548515457[[#This Row],[Name]]&lt;&gt;"",Table1173594548515457[[#This Row],[Quantity]]*Table1173594548515457[[#This Row],[Cost Per Unit (RM)]],"")</f>
        <v/>
      </c>
    </row>
    <row r="22" spans="1:4">
      <c r="D22" s="13">
        <f>SUM(Table1173594548515457[Total Cost (RM)])</f>
        <v>2.0604085714285714</v>
      </c>
    </row>
    <row r="23" spans="1:4">
      <c r="A23" s="1" t="s">
        <v>161</v>
      </c>
    </row>
    <row r="24" spans="1:4">
      <c r="A24" s="7" t="s">
        <v>7</v>
      </c>
      <c r="B24" s="5" t="s">
        <v>86</v>
      </c>
      <c r="C24" s="13" t="s">
        <v>74</v>
      </c>
      <c r="D24" s="13" t="s">
        <v>10</v>
      </c>
    </row>
    <row r="25" spans="1:4">
      <c r="A25" s="17" t="s">
        <v>143</v>
      </c>
      <c r="B25" s="18">
        <v>1</v>
      </c>
      <c r="C25" s="18">
        <f>IF(A25&lt;&gt;"",VLOOKUP(Table41836124649525558[[#This Row],[Name]], PackagingTable[], 6, FALSE),"")</f>
        <v>0.24</v>
      </c>
      <c r="D25" s="18">
        <f>IF(Table41836124649525558[[#This Row],[Name]]&lt;&gt;"",Table41836124649525558[[#This Row],[Quantity]]*Table41836124649525558[[#This Row],[Cost Per Unit (RM)]],"")</f>
        <v>0.24</v>
      </c>
    </row>
    <row r="26" spans="1:4">
      <c r="A26" s="17" t="s">
        <v>141</v>
      </c>
      <c r="B26" s="18">
        <v>1</v>
      </c>
      <c r="C26" s="18">
        <f>IF(A26&lt;&gt;"",VLOOKUP(Table41836124649525558[[#This Row],[Name]], PackagingTable[], 6, FALSE),"")</f>
        <v>0.40223999999999999</v>
      </c>
      <c r="D26" s="18">
        <f>IF(Table41836124649525558[[#This Row],[Name]]&lt;&gt;"",Table41836124649525558[[#This Row],[Quantity]]*Table41836124649525558[[#This Row],[Cost Per Unit (RM)]],"")</f>
        <v>0.40223999999999999</v>
      </c>
    </row>
    <row r="27" spans="1:4">
      <c r="A27" s="17"/>
      <c r="B27" s="18"/>
      <c r="C27" s="18" t="str">
        <f>IF(A27&lt;&gt;"",VLOOKUP(Table41836124649525558[[#This Row],[Name]], PackagingTable[], 6, FALSE),"")</f>
        <v/>
      </c>
      <c r="D27" s="18" t="str">
        <f>IF(Table41836124649525558[[#This Row],[Name]]&lt;&gt;"",Table41836124649525558[[#This Row],[Quantity]]*Table41836124649525558[[#This Row],[Cost Per Unit (RM)]],"")</f>
        <v/>
      </c>
    </row>
    <row r="28" spans="1:4">
      <c r="B28" s="13"/>
      <c r="C28" s="13"/>
      <c r="D28" s="13">
        <f>SUM(Table41836124649525558[Total Cost (RM)])</f>
        <v>0.64223999999999992</v>
      </c>
    </row>
  </sheetData>
  <dataValidations count="3">
    <dataValidation type="list" allowBlank="1" showInputMessage="1" showErrorMessage="1" sqref="A10:A11" xr:uid="{90002EAC-BCE9-4EE2-BCFD-E43651AD0B79}">
      <formula1>INDIRECT("MixedIngredientTable[Name]")</formula1>
    </dataValidation>
    <dataValidation type="list" allowBlank="1" showInputMessage="1" showErrorMessage="1" sqref="A25:A27" xr:uid="{252D4DE9-6431-42DA-9663-851FA62D8C26}">
      <formula1>INDIRECT("PackagingTable[Name]")</formula1>
    </dataValidation>
    <dataValidation type="list" allowBlank="1" showInputMessage="1" showErrorMessage="1" sqref="A16:A19" xr:uid="{F2D95F3C-732F-49B6-A3F0-F6CDF8ABA67A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0108-F1E8-44A8-97BC-3650F8CB9307}">
  <sheetPr>
    <tabColor theme="6" tint="0.39997558519241921"/>
  </sheetPr>
  <dimension ref="A1:D27"/>
  <sheetViews>
    <sheetView workbookViewId="0">
      <selection activeCell="B20" sqref="B20"/>
    </sheetView>
  </sheetViews>
  <sheetFormatPr defaultColWidth="11" defaultRowHeight="16.5"/>
  <cols>
    <col min="1" max="1" width="17.625" bestFit="1" customWidth="1"/>
    <col min="2" max="2" width="20.87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168</v>
      </c>
    </row>
    <row r="2" spans="1:4">
      <c r="A2" s="1" t="s">
        <v>83</v>
      </c>
      <c r="B2" s="8" t="s">
        <v>169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12.9</v>
      </c>
      <c r="B6" s="38">
        <f ca="1">SUM(Table1173594548515457606366[[#Totals],[Total Cost (RM)]]+Table41836124649525558616467[[#Totals],[Total Cost (RM)]]+Table1141937414750535659626568[[#Totals],[Total Cost (RM)]])</f>
        <v>3.3563327819548876</v>
      </c>
      <c r="C6" s="39">
        <f ca="1">A6-B6</f>
        <v>9.5436672180451119</v>
      </c>
      <c r="D6" s="40">
        <f ca="1">(C6/A6)*100</f>
        <v>73.981916418954356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75</v>
      </c>
      <c r="B10" s="13">
        <v>90</v>
      </c>
      <c r="C10" s="13">
        <f ca="1">IF(A10&lt;&gt;"",VLOOKUP(Table1141937414750535659626568[[#This Row],[Name]], MixedIngredientTable[], 4, FALSE),"")</f>
        <v>5.5789473684210522E-3</v>
      </c>
      <c r="D10" s="13">
        <f ca="1">IF(Table1141937414750535659626568[[#This Row],[Name]]&lt;&gt;"",Table1141937414750535659626568[[#This Row],[Quantity]]*Table1141937414750535659626568[[#This Row],[Cost Per Unit (RM)]],"")</f>
        <v>0.50210526315789472</v>
      </c>
    </row>
    <row r="11" spans="1:4">
      <c r="A11" t="s">
        <v>76</v>
      </c>
      <c r="B11" s="13">
        <v>10</v>
      </c>
      <c r="C11" s="13">
        <f ca="1">IF(A11&lt;&gt;"",VLOOKUP(Table1141937414750535659626568[[#This Row],[Name]], MixedIngredientTable[], 4, FALSE),"")</f>
        <v>1.5157894736842105E-2</v>
      </c>
      <c r="D11" s="13">
        <f ca="1">IF(Table1141937414750535659626568[[#This Row],[Name]]&lt;&gt;"",Table1141937414750535659626568[[#This Row],[Quantity]]*Table1141937414750535659626568[[#This Row],[Cost Per Unit (RM)]],"")</f>
        <v>0.15157894736842104</v>
      </c>
    </row>
    <row r="12" spans="1:4">
      <c r="D12" s="13">
        <f ca="1">SUM(Table1141937414750535659626568[Total Cost (RM)])</f>
        <v>0.65368421052631576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110</v>
      </c>
      <c r="C16">
        <f>IF(A16&lt;&gt;"",VLOOKUP(Table1173594548515457606366[[#This Row],[Name]], IngredientTable[], 6, FALSE),"")</f>
        <v>4.4999999999999997E-3</v>
      </c>
      <c r="D16">
        <f>IF(Table1173594548515457606366[[#This Row],[Name]]&lt;&gt;"",Table1173594548515457606366[[#This Row],[Quantity]]*Table1173594548515457606366[[#This Row],[Cost Per Unit (RM)]],"")</f>
        <v>0.49499999999999994</v>
      </c>
    </row>
    <row r="17" spans="1:4">
      <c r="A17" t="s">
        <v>106</v>
      </c>
      <c r="B17">
        <v>40</v>
      </c>
      <c r="C17">
        <f>IF(A17&lt;&gt;"",VLOOKUP(Table1173594548515457606366[[#This Row],[Name]], IngredientTable[], 6, FALSE),"")</f>
        <v>4.5000000000000005E-3</v>
      </c>
      <c r="D17">
        <f>IF(Table1173594548515457606366[[#This Row],[Name]]&lt;&gt;"",Table1173594548515457606366[[#This Row],[Quantity]]*Table1173594548515457606366[[#This Row],[Cost Per Unit (RM)]],"")</f>
        <v>0.18000000000000002</v>
      </c>
    </row>
    <row r="18" spans="1:4">
      <c r="A18" t="s">
        <v>104</v>
      </c>
      <c r="B18">
        <v>10</v>
      </c>
      <c r="C18">
        <f>IF(A18&lt;&gt;"",VLOOKUP(Table1173594548515457606366[[#This Row],[Name]], IngredientTable[], 6, FALSE),"")</f>
        <v>1.0398000000000001E-2</v>
      </c>
      <c r="D18">
        <f>IF(Table1173594548515457606366[[#This Row],[Name]]&lt;&gt;"",Table1173594548515457606366[[#This Row],[Quantity]]*Table1173594548515457606366[[#This Row],[Cost Per Unit (RM)]],"")</f>
        <v>0.10398000000000002</v>
      </c>
    </row>
    <row r="19" spans="1:4">
      <c r="A19" t="s">
        <v>60</v>
      </c>
      <c r="B19">
        <v>130</v>
      </c>
      <c r="C19">
        <f>IF(A19&lt;&gt;"",VLOOKUP(Table1173594548515457606366[[#This Row],[Name]], IngredientTable[], 6, FALSE),"")</f>
        <v>9.8571428571428577E-3</v>
      </c>
      <c r="D19">
        <f>IF(Table1173594548515457606366[[#This Row],[Name]]&lt;&gt;"",Table1173594548515457606366[[#This Row],[Quantity]]*Table1173594548515457606366[[#This Row],[Cost Per Unit (RM)]],"")</f>
        <v>1.2814285714285716</v>
      </c>
    </row>
    <row r="20" spans="1:4">
      <c r="C20" t="str">
        <f>IF(A20&lt;&gt;"",VLOOKUP(Table1173594548515457606366[[#This Row],[Name]], IngredientTable[], 6, FALSE),"")</f>
        <v/>
      </c>
      <c r="D20" t="str">
        <f>IF(Table1173594548515457606366[[#This Row],[Name]]&lt;&gt;"",Table1173594548515457606366[[#This Row],[Quantity]]*Table1173594548515457606366[[#This Row],[Cost Per Unit (RM)]],"")</f>
        <v/>
      </c>
    </row>
    <row r="21" spans="1:4">
      <c r="D21" s="13">
        <f>SUM(Table1173594548515457606366[Total Cost (RM)])</f>
        <v>2.0604085714285718</v>
      </c>
    </row>
    <row r="22" spans="1:4">
      <c r="A22" s="1" t="s">
        <v>161</v>
      </c>
    </row>
    <row r="23" spans="1:4">
      <c r="A23" s="7" t="s">
        <v>7</v>
      </c>
      <c r="B23" s="5" t="s">
        <v>86</v>
      </c>
      <c r="C23" s="13" t="s">
        <v>74</v>
      </c>
      <c r="D23" s="13" t="s">
        <v>10</v>
      </c>
    </row>
    <row r="24" spans="1:4">
      <c r="A24" s="17" t="s">
        <v>143</v>
      </c>
      <c r="B24" s="18">
        <v>1</v>
      </c>
      <c r="C24" s="18">
        <f>IF(A24&lt;&gt;"",VLOOKUP(Table41836124649525558616467[[#This Row],[Name]], PackagingTable[], 6, FALSE),"")</f>
        <v>0.24</v>
      </c>
      <c r="D24" s="18">
        <f>IF(Table41836124649525558616467[[#This Row],[Name]]&lt;&gt;"",Table41836124649525558616467[[#This Row],[Quantity]]*Table41836124649525558616467[[#This Row],[Cost Per Unit (RM)]],"")</f>
        <v>0.24</v>
      </c>
    </row>
    <row r="25" spans="1:4">
      <c r="A25" s="17" t="s">
        <v>141</v>
      </c>
      <c r="B25" s="18">
        <v>1</v>
      </c>
      <c r="C25" s="18">
        <f>IF(A25&lt;&gt;"",VLOOKUP(Table41836124649525558616467[[#This Row],[Name]], PackagingTable[], 6, FALSE),"")</f>
        <v>0.40223999999999999</v>
      </c>
      <c r="D25" s="18">
        <f>IF(Table41836124649525558616467[[#This Row],[Name]]&lt;&gt;"",Table41836124649525558616467[[#This Row],[Quantity]]*Table41836124649525558616467[[#This Row],[Cost Per Unit (RM)]],"")</f>
        <v>0.40223999999999999</v>
      </c>
    </row>
    <row r="26" spans="1:4">
      <c r="A26" s="17"/>
      <c r="B26" s="18"/>
      <c r="C26" s="18" t="str">
        <f>IF(A26&lt;&gt;"",VLOOKUP(Table41836124649525558616467[[#This Row],[Name]], PackagingTable[], 6, FALSE),"")</f>
        <v/>
      </c>
      <c r="D26" s="18" t="str">
        <f>IF(Table41836124649525558616467[[#This Row],[Name]]&lt;&gt;"",Table41836124649525558616467[[#This Row],[Quantity]]*Table41836124649525558616467[[#This Row],[Cost Per Unit (RM)]],"")</f>
        <v/>
      </c>
    </row>
    <row r="27" spans="1:4">
      <c r="B27" s="13"/>
      <c r="C27" s="13"/>
      <c r="D27" s="13">
        <f>SUM(Table41836124649525558616467[Total Cost (RM)])</f>
        <v>0.64223999999999992</v>
      </c>
    </row>
  </sheetData>
  <dataValidations count="3">
    <dataValidation type="list" allowBlank="1" showInputMessage="1" showErrorMessage="1" sqref="A24:A26" xr:uid="{DDB1E3E8-7405-4DD5-BDCD-5B5BD858415A}">
      <formula1>INDIRECT("PackagingTable[Name]")</formula1>
    </dataValidation>
    <dataValidation type="list" allowBlank="1" showInputMessage="1" showErrorMessage="1" sqref="A16:A20" xr:uid="{56C15E78-DFDC-492E-9035-03B34BC6CC8A}">
      <formula1>INDIRECT("IngredientTable[Name]")</formula1>
    </dataValidation>
    <dataValidation type="list" allowBlank="1" showInputMessage="1" showErrorMessage="1" sqref="A10:A11" xr:uid="{4C18E26A-70A4-4B28-97EA-A6336FD17DCC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2012-9937-CC4A-83E6-33AA5070343E}">
  <sheetPr>
    <tabColor theme="6" tint="0.39997558519241921"/>
  </sheetPr>
  <dimension ref="A1:D25"/>
  <sheetViews>
    <sheetView workbookViewId="0">
      <selection activeCell="B17" sqref="B17"/>
    </sheetView>
  </sheetViews>
  <sheetFormatPr defaultColWidth="11" defaultRowHeight="16.5"/>
  <cols>
    <col min="1" max="1" width="17.62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170</v>
      </c>
    </row>
    <row r="2" spans="1:4">
      <c r="A2" s="1" t="s">
        <v>83</v>
      </c>
      <c r="B2" s="1" t="s">
        <v>171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7.9</v>
      </c>
      <c r="B6" s="38">
        <f>SUM(Table1173538[[#Totals],[Total Cost (RM)]]+Table4183639[[#Totals],[Total Cost (RM)]]+Table114193740[[#Totals],[Total Cost (RM)]])</f>
        <v>3.1002399999999994</v>
      </c>
      <c r="C6" s="39">
        <f>A6-B6</f>
        <v>4.7997600000000009</v>
      </c>
      <c r="D6" s="40">
        <f>(C6/A6)*100</f>
        <v>60.756455696202536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/>
      <c r="B10" s="74"/>
      <c r="C10" s="74" t="str">
        <f>IF(A10&lt;&gt;"",VLOOKUP(Table114193740[[#This Row],[Name]], MixedIngredientTable[], 4, FALSE),"")</f>
        <v/>
      </c>
      <c r="D10" s="74" t="str">
        <f>IF(Table114193740[[#This Row],[Name]]&lt;&gt;"",Table114193740[[#This Row],[Quantity]]*Table114193740[[#This Row],[Cost Per Unit (RM)]],"")</f>
        <v/>
      </c>
    </row>
    <row r="11" spans="1:4">
      <c r="A11" s="75"/>
      <c r="B11" s="75"/>
      <c r="C11" s="74" t="str">
        <f>IF(A11&lt;&gt;"",VLOOKUP(Table114193740[[#This Row],[Name]], MixedIngredientTable[], 4, FALSE),"")</f>
        <v/>
      </c>
      <c r="D11" s="74" t="str">
        <f>IF(Table114193740[[#This Row],[Name]]&lt;&gt;"",Table114193740[[#This Row],[Quantity]]*Table114193740[[#This Row],[Cost Per Unit (RM)]],"")</f>
        <v/>
      </c>
    </row>
    <row r="12" spans="1:4">
      <c r="A12" s="75"/>
      <c r="B12" s="75"/>
      <c r="C12" s="75"/>
      <c r="D12" s="74">
        <f>SUM(Table114193740[Total Cost (RM)])</f>
        <v>0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400</v>
      </c>
      <c r="C16">
        <f>IF(A16&lt;&gt;"",VLOOKUP(Table1173538[[#This Row],[Name]], IngredientTable[], 6, FALSE),"")</f>
        <v>4.4999999999999997E-3</v>
      </c>
      <c r="D16">
        <f>IF(Table1173538[[#This Row],[Name]]&lt;&gt;"",Table1173538[[#This Row],[Quantity]]*Table1173538[[#This Row],[Cost Per Unit (RM)]],"")</f>
        <v>1.7999999999999998</v>
      </c>
    </row>
    <row r="17" spans="1:4">
      <c r="A17" t="s">
        <v>106</v>
      </c>
      <c r="B17">
        <v>140</v>
      </c>
      <c r="C17">
        <f>IF(A17&lt;&gt;"",VLOOKUP(Table1173538[[#This Row],[Name]], IngredientTable[], 6, FALSE),"")</f>
        <v>4.5000000000000005E-3</v>
      </c>
      <c r="D17">
        <f>IF(Table1173538[[#This Row],[Name]]&lt;&gt;"",Table1173538[[#This Row],[Quantity]]*Table1173538[[#This Row],[Cost Per Unit (RM)]],"")</f>
        <v>0.63000000000000012</v>
      </c>
    </row>
    <row r="18" spans="1:4">
      <c r="C18" t="str">
        <f>IF(A18&lt;&gt;"",VLOOKUP(Table1173538[[#This Row],[Name]], IngredientTable[], 6, FALSE),"")</f>
        <v/>
      </c>
      <c r="D18" t="str">
        <f>IF(Table1173538[[#This Row],[Name]]&lt;&gt;"",Table1173538[[#This Row],[Quantity]]*Table1173538[[#This Row],[Cost Per Unit (RM)]],"")</f>
        <v/>
      </c>
    </row>
    <row r="19" spans="1:4">
      <c r="D19" s="13">
        <f>SUM(Table1173538[Total Cost (RM)])</f>
        <v>2.4299999999999997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143</v>
      </c>
      <c r="B22" s="18">
        <v>1</v>
      </c>
      <c r="C22" s="18">
        <f>IF(A22&lt;&gt;"",VLOOKUP(Table4183639[[#This Row],[Name]], PackagingTable[], 6, FALSE),"")</f>
        <v>0.24</v>
      </c>
      <c r="D22" s="18">
        <f>IF(Table4183639[[#This Row],[Name]]&lt;&gt;"",Table4183639[[#This Row],[Quantity]]*Table4183639[[#This Row],[Cost Per Unit (RM)]],"")</f>
        <v>0.24</v>
      </c>
    </row>
    <row r="23" spans="1:4">
      <c r="A23" s="17" t="s">
        <v>141</v>
      </c>
      <c r="B23" s="18">
        <v>1</v>
      </c>
      <c r="C23" s="18">
        <f>IF(A23&lt;&gt;"",VLOOKUP(Table4183639[[#This Row],[Name]], PackagingTable[], 6, FALSE),"")</f>
        <v>0.40223999999999999</v>
      </c>
      <c r="D23" s="18">
        <f>IF(Table4183639[[#This Row],[Name]]&lt;&gt;"",Table4183639[[#This Row],[Quantity]]*Table4183639[[#This Row],[Cost Per Unit (RM)]],"")</f>
        <v>0.40223999999999999</v>
      </c>
    </row>
    <row r="24" spans="1:4">
      <c r="A24" s="17" t="s">
        <v>145</v>
      </c>
      <c r="B24" s="18">
        <v>1</v>
      </c>
      <c r="C24" s="18">
        <f>IF(A24&lt;&gt;"",VLOOKUP(Table4183639[[#This Row],[Name]], PackagingTable[], 6, FALSE),"")</f>
        <v>2.7999999999999997E-2</v>
      </c>
      <c r="D24" s="18">
        <f>IF(Table4183639[[#This Row],[Name]]&lt;&gt;"",Table4183639[[#This Row],[Quantity]]*Table4183639[[#This Row],[Cost Per Unit (RM)]],"")</f>
        <v>2.7999999999999997E-2</v>
      </c>
    </row>
    <row r="25" spans="1:4">
      <c r="B25" s="13"/>
      <c r="C25" s="13"/>
      <c r="D25" s="13">
        <f>SUM(Table4183639[Total Cost (RM)])</f>
        <v>0.67023999999999995</v>
      </c>
    </row>
  </sheetData>
  <dataValidations count="3">
    <dataValidation type="list" allowBlank="1" showInputMessage="1" showErrorMessage="1" sqref="A22:A24" xr:uid="{D7B410A7-4334-E043-B3F4-2B3C92A275F1}">
      <formula1>INDIRECT("PackagingTable[Name]")</formula1>
    </dataValidation>
    <dataValidation type="list" allowBlank="1" showInputMessage="1" showErrorMessage="1" sqref="A16:A18" xr:uid="{AE74E8A8-1799-6741-AFBF-9F7266CC8885}">
      <formula1>INDIRECT("IngredientTable[Name]")</formula1>
    </dataValidation>
    <dataValidation type="list" allowBlank="1" showInputMessage="1" showErrorMessage="1" sqref="A10:A11" xr:uid="{6A546BA7-B857-3441-96E2-9A53258CA78F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8BC2-4408-4DF5-AC1A-DD5E0EE4748A}">
  <sheetPr>
    <tabColor theme="6" tint="0.39997558519241921"/>
  </sheetPr>
  <dimension ref="A1:D25"/>
  <sheetViews>
    <sheetView workbookViewId="0">
      <selection activeCell="D16" sqref="D16"/>
    </sheetView>
  </sheetViews>
  <sheetFormatPr defaultColWidth="11" defaultRowHeight="15.75"/>
  <cols>
    <col min="1" max="1" width="22.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 ht="16.5">
      <c r="A1" s="1" t="s">
        <v>158</v>
      </c>
      <c r="B1" s="1" t="s">
        <v>172</v>
      </c>
    </row>
    <row r="2" spans="1:4" ht="16.5">
      <c r="A2" s="1" t="s">
        <v>83</v>
      </c>
      <c r="B2" s="1" t="s">
        <v>35</v>
      </c>
    </row>
    <row r="4" spans="1:4" ht="16.5">
      <c r="A4" s="1" t="s">
        <v>84</v>
      </c>
    </row>
    <row r="5" spans="1:4" ht="16.5">
      <c r="A5" s="3" t="s">
        <v>9</v>
      </c>
      <c r="B5" s="35" t="s">
        <v>10</v>
      </c>
      <c r="C5" s="36" t="s">
        <v>160</v>
      </c>
      <c r="D5" s="37" t="s">
        <v>12</v>
      </c>
    </row>
    <row r="6" spans="1:4" ht="16.5">
      <c r="A6" s="2">
        <v>6</v>
      </c>
      <c r="B6" s="38">
        <f>SUM(Table1173538103[[#Totals],[Total Cost (RM)]]+Table4183639104[[#Totals],[Total Cost (RM)]]+Table114193740105[[#Totals],[Total Cost (RM)]])</f>
        <v>2.2995000000000001</v>
      </c>
      <c r="C6" s="39">
        <f>A6-B6</f>
        <v>3.7004999999999999</v>
      </c>
      <c r="D6" s="40">
        <f>(C6/A6)*100</f>
        <v>61.675000000000004</v>
      </c>
    </row>
    <row r="7" spans="1:4" ht="16.5">
      <c r="D7" s="41"/>
    </row>
    <row r="8" spans="1:4" ht="16.5">
      <c r="A8" s="1" t="s">
        <v>98</v>
      </c>
    </row>
    <row r="9" spans="1:4" ht="16.5">
      <c r="A9" s="77" t="s">
        <v>7</v>
      </c>
      <c r="B9" s="76" t="s">
        <v>86</v>
      </c>
      <c r="C9" s="74" t="s">
        <v>74</v>
      </c>
      <c r="D9" s="74" t="s">
        <v>10</v>
      </c>
    </row>
    <row r="10" spans="1:4" ht="16.5">
      <c r="A10" s="75"/>
      <c r="B10" s="74"/>
      <c r="C10" s="74" t="str">
        <f>IF(A10&lt;&gt;"",VLOOKUP(Table114193740105[[#This Row],[Name]], MixedIngredientTable[], 4, FALSE),"")</f>
        <v/>
      </c>
      <c r="D10" s="74" t="str">
        <f>IF(Table114193740105[[#This Row],[Name]]&lt;&gt;"",Table114193740105[[#This Row],[Quantity]]*Table114193740105[[#This Row],[Cost Per Unit (RM)]],"")</f>
        <v/>
      </c>
    </row>
    <row r="11" spans="1:4" ht="16.5">
      <c r="A11" s="75"/>
      <c r="B11" s="75"/>
      <c r="C11" s="74" t="str">
        <f>IF(A11&lt;&gt;"",VLOOKUP(Table114193740105[[#This Row],[Name]], MixedIngredientTable[], 4, FALSE),"")</f>
        <v/>
      </c>
      <c r="D11" s="74" t="str">
        <f>IF(Table114193740105[[#This Row],[Name]]&lt;&gt;"",Table114193740105[[#This Row],[Quantity]]*Table114193740105[[#This Row],[Cost Per Unit (RM)]],"")</f>
        <v/>
      </c>
    </row>
    <row r="12" spans="1:4" ht="16.5">
      <c r="A12" s="75"/>
      <c r="B12" s="75"/>
      <c r="C12" s="75"/>
      <c r="D12" s="74">
        <f>SUM(Table114193740105[Total Cost (RM)])</f>
        <v>0</v>
      </c>
    </row>
    <row r="14" spans="1:4" ht="16.5">
      <c r="A14" s="1" t="s">
        <v>85</v>
      </c>
    </row>
    <row r="15" spans="1:4" ht="16.5">
      <c r="A15" s="7" t="s">
        <v>7</v>
      </c>
      <c r="B15" s="5" t="s">
        <v>86</v>
      </c>
      <c r="C15" s="13" t="s">
        <v>74</v>
      </c>
      <c r="D15" s="13" t="s">
        <v>10</v>
      </c>
    </row>
    <row r="16" spans="1:4" ht="16.5">
      <c r="A16" t="s">
        <v>93</v>
      </c>
      <c r="B16">
        <v>8</v>
      </c>
      <c r="C16">
        <f>IF(A16&lt;&gt;"",VLOOKUP(Table1173538103[[#This Row],[Name]], IngredientTable[], 6, FALSE),"")</f>
        <v>5.8999999999999997E-2</v>
      </c>
      <c r="D16">
        <f>IF(Table1173538103[[#This Row],[Name]]&lt;&gt;"",Table1173538103[[#This Row],[Quantity]]*Table1173538103[[#This Row],[Cost Per Unit (RM)]],"")</f>
        <v>0.47199999999999998</v>
      </c>
    </row>
    <row r="17" spans="1:4" ht="16.5">
      <c r="A17" t="s">
        <v>97</v>
      </c>
      <c r="B17">
        <v>250</v>
      </c>
      <c r="C17">
        <f>IF(A17&lt;&gt;"",VLOOKUP(Table1173538103[[#This Row],[Name]], IngredientTable[], 6, FALSE),"")</f>
        <v>6.4900000000000001E-3</v>
      </c>
      <c r="D17">
        <f>IF(Table1173538103[[#This Row],[Name]]&lt;&gt;"",Table1173538103[[#This Row],[Quantity]]*Table1173538103[[#This Row],[Cost Per Unit (RM)]],"")</f>
        <v>1.6225000000000001</v>
      </c>
    </row>
    <row r="18" spans="1:4" ht="16.5">
      <c r="C18" t="str">
        <f>IF(A18&lt;&gt;"",VLOOKUP(Table1173538103[[#This Row],[Name]], IngredientTable[], 6, FALSE),"")</f>
        <v/>
      </c>
      <c r="D18" t="str">
        <f>IF(Table1173538103[[#This Row],[Name]]&lt;&gt;"",Table1173538103[[#This Row],[Quantity]]*Table1173538103[[#This Row],[Cost Per Unit (RM)]],"")</f>
        <v/>
      </c>
    </row>
    <row r="19" spans="1:4" ht="16.5">
      <c r="D19" s="13">
        <f>SUM(Table1173538103[Total Cost (RM)])</f>
        <v>2.0945</v>
      </c>
    </row>
    <row r="20" spans="1:4" ht="16.5">
      <c r="A20" s="1" t="s">
        <v>161</v>
      </c>
    </row>
    <row r="21" spans="1:4" ht="16.5">
      <c r="A21" s="7" t="s">
        <v>7</v>
      </c>
      <c r="B21" s="5" t="s">
        <v>86</v>
      </c>
      <c r="C21" s="13" t="s">
        <v>74</v>
      </c>
      <c r="D21" s="13" t="s">
        <v>10</v>
      </c>
    </row>
    <row r="22" spans="1:4" ht="16.5">
      <c r="A22" s="17" t="s">
        <v>154</v>
      </c>
      <c r="B22" s="18">
        <v>1</v>
      </c>
      <c r="C22" s="18">
        <f>IF(A22&lt;&gt;"",VLOOKUP(Table4183639104[[#This Row],[Name]], PackagingTable[], 6, FALSE),"")</f>
        <v>0.16</v>
      </c>
      <c r="D22" s="18">
        <f>IF(Table4183639104[[#This Row],[Name]]&lt;&gt;"",Table4183639104[[#This Row],[Quantity]]*Table4183639104[[#This Row],[Cost Per Unit (RM)]],"")</f>
        <v>0.16</v>
      </c>
    </row>
    <row r="23" spans="1:4" ht="16.5">
      <c r="A23" s="17" t="s">
        <v>155</v>
      </c>
      <c r="B23" s="18">
        <v>1</v>
      </c>
      <c r="C23" s="18">
        <f>IF(A23&lt;&gt;"",VLOOKUP(Table4183639104[[#This Row],[Name]], PackagingTable[], 6, FALSE),"")</f>
        <v>4.4999999999999998E-2</v>
      </c>
      <c r="D23" s="18">
        <f>IF(Table4183639104[[#This Row],[Name]]&lt;&gt;"",Table4183639104[[#This Row],[Quantity]]*Table4183639104[[#This Row],[Cost Per Unit (RM)]],"")</f>
        <v>4.4999999999999998E-2</v>
      </c>
    </row>
    <row r="24" spans="1:4" ht="16.5">
      <c r="A24" s="17"/>
      <c r="B24" s="18"/>
      <c r="C24" s="18" t="str">
        <f>IF(A24&lt;&gt;"",VLOOKUP(Table4183639104[[#This Row],[Name]], PackagingTable[], 6, FALSE),"")</f>
        <v/>
      </c>
      <c r="D24" s="18" t="str">
        <f>IF(Table4183639104[[#This Row],[Name]]&lt;&gt;"",Table4183639104[[#This Row],[Quantity]]*Table4183639104[[#This Row],[Cost Per Unit (RM)]],"")</f>
        <v/>
      </c>
    </row>
    <row r="25" spans="1:4" ht="16.5">
      <c r="B25" s="13"/>
      <c r="C25" s="13"/>
      <c r="D25" s="13">
        <f>SUM(Table4183639104[Total Cost (RM)])</f>
        <v>0.20500000000000002</v>
      </c>
    </row>
  </sheetData>
  <dataValidations count="3">
    <dataValidation type="list" allowBlank="1" showInputMessage="1" showErrorMessage="1" sqref="A10:A11" xr:uid="{8E69C444-6609-4E1E-B80D-A480A61583AE}">
      <formula1>INDIRECT("MixedIngredientTable[Name]")</formula1>
    </dataValidation>
    <dataValidation type="list" allowBlank="1" showInputMessage="1" showErrorMessage="1" sqref="A16:A18" xr:uid="{9904E97B-5045-41D8-961D-4D0E6ACC1BCD}">
      <formula1>INDIRECT("IngredientTable[Name]")</formula1>
    </dataValidation>
    <dataValidation type="list" allowBlank="1" showInputMessage="1" showErrorMessage="1" sqref="A22:A24" xr:uid="{66DD4EBF-BE06-41B3-9C4C-9290096A3437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C3F5-EA0E-4D70-A03A-263C601682AD}">
  <sheetPr>
    <tabColor theme="6" tint="0.39997558519241921"/>
  </sheetPr>
  <dimension ref="A1:D25"/>
  <sheetViews>
    <sheetView workbookViewId="0">
      <selection activeCell="D25" sqref="D25"/>
    </sheetView>
  </sheetViews>
  <sheetFormatPr defaultColWidth="11" defaultRowHeight="15.75"/>
  <cols>
    <col min="1" max="1" width="22.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 ht="16.5">
      <c r="A1" s="1" t="s">
        <v>158</v>
      </c>
      <c r="B1" s="1" t="s">
        <v>173</v>
      </c>
    </row>
    <row r="2" spans="1:4" ht="16.5">
      <c r="A2" s="1" t="s">
        <v>83</v>
      </c>
      <c r="B2" s="1" t="s">
        <v>36</v>
      </c>
    </row>
    <row r="4" spans="1:4" ht="16.5">
      <c r="A4" s="1" t="s">
        <v>84</v>
      </c>
    </row>
    <row r="5" spans="1:4" ht="16.5">
      <c r="A5" s="3" t="s">
        <v>9</v>
      </c>
      <c r="B5" s="35" t="s">
        <v>10</v>
      </c>
      <c r="C5" s="36" t="s">
        <v>160</v>
      </c>
      <c r="D5" s="37" t="s">
        <v>12</v>
      </c>
    </row>
    <row r="6" spans="1:4" ht="16.5">
      <c r="A6" s="2">
        <v>7</v>
      </c>
      <c r="B6" s="38">
        <f>SUM(Table1173538103106[[#Totals],[Total Cost (RM)]]+Table4183639104107[[#Totals],[Total Cost (RM)]]+Table114193740105108[[#Totals],[Total Cost (RM)]])</f>
        <v>2.4934189189189189</v>
      </c>
      <c r="C6" s="39">
        <f>A6-B6</f>
        <v>4.5065810810810811</v>
      </c>
      <c r="D6" s="40">
        <f>(C6/A6)*100</f>
        <v>64.379729729729732</v>
      </c>
    </row>
    <row r="7" spans="1:4" ht="16.5">
      <c r="D7" s="41"/>
    </row>
    <row r="8" spans="1:4" ht="16.5">
      <c r="A8" s="1" t="s">
        <v>98</v>
      </c>
    </row>
    <row r="9" spans="1:4" ht="16.5">
      <c r="A9" s="77" t="s">
        <v>7</v>
      </c>
      <c r="B9" s="76" t="s">
        <v>86</v>
      </c>
      <c r="C9" s="74" t="s">
        <v>74</v>
      </c>
      <c r="D9" s="74" t="s">
        <v>10</v>
      </c>
    </row>
    <row r="10" spans="1:4" ht="16.5">
      <c r="A10" s="75"/>
      <c r="B10" s="74"/>
      <c r="C10" s="74" t="str">
        <f>IF(A10&lt;&gt;"",VLOOKUP(Table114193740105108[[#This Row],[Name]], MixedIngredientTable[], 4, FALSE),"")</f>
        <v/>
      </c>
      <c r="D10" s="74" t="str">
        <f>IF(Table114193740105108[[#This Row],[Name]]&lt;&gt;"",Table114193740105108[[#This Row],[Quantity]]*Table114193740105108[[#This Row],[Cost Per Unit (RM)]],"")</f>
        <v/>
      </c>
    </row>
    <row r="11" spans="1:4" ht="16.5">
      <c r="A11" s="75"/>
      <c r="B11" s="75"/>
      <c r="C11" s="74" t="str">
        <f>IF(A11&lt;&gt;"",VLOOKUP(Table114193740105108[[#This Row],[Name]], MixedIngredientTable[], 4, FALSE),"")</f>
        <v/>
      </c>
      <c r="D11" s="74" t="str">
        <f>IF(Table114193740105108[[#This Row],[Name]]&lt;&gt;"",Table114193740105108[[#This Row],[Quantity]]*Table114193740105108[[#This Row],[Cost Per Unit (RM)]],"")</f>
        <v/>
      </c>
    </row>
    <row r="12" spans="1:4" ht="16.5">
      <c r="A12" s="75"/>
      <c r="B12" s="75"/>
      <c r="C12" s="75"/>
      <c r="D12" s="74">
        <f>SUM(Table114193740105108[Total Cost (RM)])</f>
        <v>0</v>
      </c>
    </row>
    <row r="14" spans="1:4" ht="16.5">
      <c r="A14" s="1" t="s">
        <v>85</v>
      </c>
    </row>
    <row r="15" spans="1:4" ht="16.5">
      <c r="A15" s="7" t="s">
        <v>7</v>
      </c>
      <c r="B15" s="5" t="s">
        <v>86</v>
      </c>
      <c r="C15" s="13" t="s">
        <v>74</v>
      </c>
      <c r="D15" s="13" t="s">
        <v>10</v>
      </c>
    </row>
    <row r="16" spans="1:4" ht="16.5">
      <c r="A16" t="s">
        <v>93</v>
      </c>
      <c r="B16">
        <v>8</v>
      </c>
      <c r="C16">
        <f>IF(A16&lt;&gt;"",VLOOKUP(Table1173538103106[[#This Row],[Name]], IngredientTable[], 6, FALSE),"")</f>
        <v>5.8999999999999997E-2</v>
      </c>
      <c r="D16">
        <f>IF(Table1173538103106[[#This Row],[Name]]&lt;&gt;"",Table1173538103106[[#This Row],[Quantity]]*Table1173538103106[[#This Row],[Cost Per Unit (RM)]],"")</f>
        <v>0.47199999999999998</v>
      </c>
    </row>
    <row r="17" spans="1:4" ht="16.5">
      <c r="A17" t="s">
        <v>97</v>
      </c>
      <c r="B17">
        <v>250</v>
      </c>
      <c r="C17">
        <f>IF(A17&lt;&gt;"",VLOOKUP(Table1173538103106[[#This Row],[Name]], IngredientTable[], 6, FALSE),"")</f>
        <v>6.4900000000000001E-3</v>
      </c>
      <c r="D17">
        <f>IF(Table1173538103106[[#This Row],[Name]]&lt;&gt;"",Table1173538103106[[#This Row],[Quantity]]*Table1173538103106[[#This Row],[Cost Per Unit (RM)]],"")</f>
        <v>1.6225000000000001</v>
      </c>
    </row>
    <row r="18" spans="1:4" ht="16.5">
      <c r="A18" t="s">
        <v>109</v>
      </c>
      <c r="B18">
        <v>7</v>
      </c>
      <c r="C18">
        <f>IF(A18&lt;&gt;"",VLOOKUP(Table1173538103106[[#This Row],[Name]], IngredientTable[], 6, FALSE),"")</f>
        <v>2.7702702702702704E-2</v>
      </c>
      <c r="D18">
        <f>IF(Table1173538103106[[#This Row],[Name]]&lt;&gt;"",Table1173538103106[[#This Row],[Quantity]]*Table1173538103106[[#This Row],[Cost Per Unit (RM)]],"")</f>
        <v>0.19391891891891894</v>
      </c>
    </row>
    <row r="19" spans="1:4" ht="16.5">
      <c r="D19" s="13">
        <f>SUM(Table1173538103106[Total Cost (RM)])</f>
        <v>2.2884189189189188</v>
      </c>
    </row>
    <row r="20" spans="1:4" ht="16.5">
      <c r="A20" s="1" t="s">
        <v>161</v>
      </c>
    </row>
    <row r="21" spans="1:4" ht="16.5">
      <c r="A21" s="7" t="s">
        <v>7</v>
      </c>
      <c r="B21" s="5" t="s">
        <v>86</v>
      </c>
      <c r="C21" s="13" t="s">
        <v>74</v>
      </c>
      <c r="D21" s="13" t="s">
        <v>10</v>
      </c>
    </row>
    <row r="22" spans="1:4" ht="16.5">
      <c r="A22" s="17" t="s">
        <v>154</v>
      </c>
      <c r="B22" s="18">
        <v>1</v>
      </c>
      <c r="C22" s="18">
        <f>IF(A22&lt;&gt;"",VLOOKUP(Table4183639104107[[#This Row],[Name]], PackagingTable[], 6, FALSE),"")</f>
        <v>0.16</v>
      </c>
      <c r="D22" s="18">
        <f>IF(Table4183639104107[[#This Row],[Name]]&lt;&gt;"",Table4183639104107[[#This Row],[Quantity]]*Table4183639104107[[#This Row],[Cost Per Unit (RM)]],"")</f>
        <v>0.16</v>
      </c>
    </row>
    <row r="23" spans="1:4" ht="16.5">
      <c r="A23" s="17" t="s">
        <v>155</v>
      </c>
      <c r="B23" s="18">
        <v>1</v>
      </c>
      <c r="C23" s="18">
        <f>IF(A23&lt;&gt;"",VLOOKUP(Table4183639104107[[#This Row],[Name]], PackagingTable[], 6, FALSE),"")</f>
        <v>4.4999999999999998E-2</v>
      </c>
      <c r="D23" s="18">
        <f>IF(Table4183639104107[[#This Row],[Name]]&lt;&gt;"",Table4183639104107[[#This Row],[Quantity]]*Table4183639104107[[#This Row],[Cost Per Unit (RM)]],"")</f>
        <v>4.4999999999999998E-2</v>
      </c>
    </row>
    <row r="24" spans="1:4" ht="16.5">
      <c r="A24" s="17"/>
      <c r="B24" s="18"/>
      <c r="C24" s="18" t="str">
        <f>IF(A24&lt;&gt;"",VLOOKUP(Table4183639104107[[#This Row],[Name]], PackagingTable[], 6, FALSE),"")</f>
        <v/>
      </c>
      <c r="D24" s="18" t="str">
        <f>IF(Table4183639104107[[#This Row],[Name]]&lt;&gt;"",Table4183639104107[[#This Row],[Quantity]]*Table4183639104107[[#This Row],[Cost Per Unit (RM)]],"")</f>
        <v/>
      </c>
    </row>
    <row r="25" spans="1:4" ht="16.5">
      <c r="B25" s="13"/>
      <c r="C25" s="13"/>
      <c r="D25" s="13">
        <f>SUM(Table4183639104107[Total Cost (RM)])</f>
        <v>0.20500000000000002</v>
      </c>
    </row>
  </sheetData>
  <dataValidations count="3">
    <dataValidation type="list" allowBlank="1" showInputMessage="1" showErrorMessage="1" sqref="A22:A24" xr:uid="{59CDB51E-A490-4CE1-9630-AC35044970D0}">
      <formula1>INDIRECT("PackagingTable[Name]")</formula1>
    </dataValidation>
    <dataValidation type="list" allowBlank="1" showInputMessage="1" showErrorMessage="1" sqref="A16:A18" xr:uid="{084F38FF-D29D-4688-B9C7-906A20A3FA25}">
      <formula1>INDIRECT("IngredientTable[Name]")</formula1>
    </dataValidation>
    <dataValidation type="list" allowBlank="1" showInputMessage="1" showErrorMessage="1" sqref="A10:A11" xr:uid="{9ACE3282-AE22-4D6E-B08A-610BF557EB18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74D75-9412-4CB9-931A-994FD857D41A}">
  <sheetPr>
    <tabColor theme="6" tint="0.39997558519241921"/>
  </sheetPr>
  <dimension ref="A1:D25"/>
  <sheetViews>
    <sheetView workbookViewId="0">
      <selection activeCell="B3" sqref="B3"/>
    </sheetView>
  </sheetViews>
  <sheetFormatPr defaultColWidth="11" defaultRowHeight="15.75"/>
  <cols>
    <col min="1" max="1" width="22.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 ht="16.5">
      <c r="A1" s="1" t="s">
        <v>158</v>
      </c>
      <c r="B1" s="1" t="s">
        <v>174</v>
      </c>
    </row>
    <row r="2" spans="1:4" ht="16.5">
      <c r="A2" s="1" t="s">
        <v>83</v>
      </c>
      <c r="B2" s="1" t="s">
        <v>37</v>
      </c>
    </row>
    <row r="4" spans="1:4" ht="16.5">
      <c r="A4" s="1" t="s">
        <v>84</v>
      </c>
    </row>
    <row r="5" spans="1:4" ht="16.5">
      <c r="A5" s="3" t="s">
        <v>9</v>
      </c>
      <c r="B5" s="35" t="s">
        <v>10</v>
      </c>
      <c r="C5" s="36" t="s">
        <v>160</v>
      </c>
      <c r="D5" s="37" t="s">
        <v>12</v>
      </c>
    </row>
    <row r="6" spans="1:4" ht="16.5">
      <c r="A6" s="2">
        <v>7</v>
      </c>
      <c r="B6" s="38">
        <f>SUM(Table1173538103106109[[#Totals],[Total Cost (RM)]]+Table4183639104107110[[#Totals],[Total Cost (RM)]]+Table114193740105108111[[#Totals],[Total Cost (RM)]])</f>
        <v>2.4934189189189189</v>
      </c>
      <c r="C6" s="39">
        <f>A6-B6</f>
        <v>4.5065810810810811</v>
      </c>
      <c r="D6" s="40">
        <f>(C6/A6)*100</f>
        <v>64.379729729729732</v>
      </c>
    </row>
    <row r="7" spans="1:4" ht="16.5">
      <c r="D7" s="41"/>
    </row>
    <row r="8" spans="1:4" ht="16.5">
      <c r="A8" s="1" t="s">
        <v>98</v>
      </c>
    </row>
    <row r="9" spans="1:4" ht="16.5">
      <c r="A9" s="77" t="s">
        <v>7</v>
      </c>
      <c r="B9" s="76" t="s">
        <v>86</v>
      </c>
      <c r="C9" s="74" t="s">
        <v>74</v>
      </c>
      <c r="D9" s="74" t="s">
        <v>10</v>
      </c>
    </row>
    <row r="10" spans="1:4" ht="16.5">
      <c r="A10" s="75"/>
      <c r="B10" s="74"/>
      <c r="C10" s="74" t="str">
        <f>IF(A10&lt;&gt;"",VLOOKUP(Table114193740105108111[[#This Row],[Name]], MixedIngredientTable[], 4, FALSE),"")</f>
        <v/>
      </c>
      <c r="D10" s="74" t="str">
        <f>IF(Table114193740105108111[[#This Row],[Name]]&lt;&gt;"",Table114193740105108111[[#This Row],[Quantity]]*Table114193740105108111[[#This Row],[Cost Per Unit (RM)]],"")</f>
        <v/>
      </c>
    </row>
    <row r="11" spans="1:4" ht="16.5">
      <c r="A11" s="75"/>
      <c r="B11" s="75"/>
      <c r="C11" s="74" t="str">
        <f>IF(A11&lt;&gt;"",VLOOKUP(Table114193740105108111[[#This Row],[Name]], MixedIngredientTable[], 4, FALSE),"")</f>
        <v/>
      </c>
      <c r="D11" s="74" t="str">
        <f>IF(Table114193740105108111[[#This Row],[Name]]&lt;&gt;"",Table114193740105108111[[#This Row],[Quantity]]*Table114193740105108111[[#This Row],[Cost Per Unit (RM)]],"")</f>
        <v/>
      </c>
    </row>
    <row r="12" spans="1:4" ht="16.5">
      <c r="A12" s="75"/>
      <c r="B12" s="75"/>
      <c r="C12" s="75"/>
      <c r="D12" s="74">
        <f>SUM(Table114193740105108111[Total Cost (RM)])</f>
        <v>0</v>
      </c>
    </row>
    <row r="14" spans="1:4" ht="16.5">
      <c r="A14" s="1" t="s">
        <v>85</v>
      </c>
    </row>
    <row r="15" spans="1:4" ht="16.5">
      <c r="A15" s="7" t="s">
        <v>7</v>
      </c>
      <c r="B15" s="5" t="s">
        <v>86</v>
      </c>
      <c r="C15" s="13" t="s">
        <v>74</v>
      </c>
      <c r="D15" s="13" t="s">
        <v>10</v>
      </c>
    </row>
    <row r="16" spans="1:4" ht="16.5">
      <c r="A16" t="s">
        <v>93</v>
      </c>
      <c r="B16">
        <v>8</v>
      </c>
      <c r="C16">
        <f>IF(A16&lt;&gt;"",VLOOKUP(Table1173538103106109[[#This Row],[Name]], IngredientTable[], 6, FALSE),"")</f>
        <v>5.8999999999999997E-2</v>
      </c>
      <c r="D16">
        <f>IF(Table1173538103106109[[#This Row],[Name]]&lt;&gt;"",Table1173538103106109[[#This Row],[Quantity]]*Table1173538103106109[[#This Row],[Cost Per Unit (RM)]],"")</f>
        <v>0.47199999999999998</v>
      </c>
    </row>
    <row r="17" spans="1:4" ht="16.5">
      <c r="A17" t="s">
        <v>97</v>
      </c>
      <c r="B17">
        <v>250</v>
      </c>
      <c r="C17">
        <f>IF(A17&lt;&gt;"",VLOOKUP(Table1173538103106109[[#This Row],[Name]], IngredientTable[], 6, FALSE),"")</f>
        <v>6.4900000000000001E-3</v>
      </c>
      <c r="D17">
        <f>IF(Table1173538103106109[[#This Row],[Name]]&lt;&gt;"",Table1173538103106109[[#This Row],[Quantity]]*Table1173538103106109[[#This Row],[Cost Per Unit (RM)]],"")</f>
        <v>1.6225000000000001</v>
      </c>
    </row>
    <row r="18" spans="1:4" ht="16.5">
      <c r="A18" t="s">
        <v>109</v>
      </c>
      <c r="B18">
        <v>7</v>
      </c>
      <c r="C18">
        <f>IF(A18&lt;&gt;"",VLOOKUP(Table1173538103106109[[#This Row],[Name]], IngredientTable[], 6, FALSE),"")</f>
        <v>2.7702702702702704E-2</v>
      </c>
      <c r="D18">
        <f>IF(Table1173538103106109[[#This Row],[Name]]&lt;&gt;"",Table1173538103106109[[#This Row],[Quantity]]*Table1173538103106109[[#This Row],[Cost Per Unit (RM)]],"")</f>
        <v>0.19391891891891894</v>
      </c>
    </row>
    <row r="19" spans="1:4" ht="16.5">
      <c r="D19" s="13">
        <f>SUM(Table1173538103106109[Total Cost (RM)])</f>
        <v>2.2884189189189188</v>
      </c>
    </row>
    <row r="20" spans="1:4" ht="16.5">
      <c r="A20" s="1" t="s">
        <v>161</v>
      </c>
    </row>
    <row r="21" spans="1:4" ht="16.5">
      <c r="A21" s="7" t="s">
        <v>7</v>
      </c>
      <c r="B21" s="5" t="s">
        <v>86</v>
      </c>
      <c r="C21" s="13" t="s">
        <v>74</v>
      </c>
      <c r="D21" s="13" t="s">
        <v>10</v>
      </c>
    </row>
    <row r="22" spans="1:4" ht="16.5">
      <c r="A22" s="17" t="s">
        <v>154</v>
      </c>
      <c r="B22" s="18">
        <v>1</v>
      </c>
      <c r="C22" s="18">
        <f>IF(A22&lt;&gt;"",VLOOKUP(Table4183639104107110[[#This Row],[Name]], PackagingTable[], 6, FALSE),"")</f>
        <v>0.16</v>
      </c>
      <c r="D22" s="18">
        <f>IF(Table4183639104107110[[#This Row],[Name]]&lt;&gt;"",Table4183639104107110[[#This Row],[Quantity]]*Table4183639104107110[[#This Row],[Cost Per Unit (RM)]],"")</f>
        <v>0.16</v>
      </c>
    </row>
    <row r="23" spans="1:4" ht="16.5">
      <c r="A23" s="17" t="s">
        <v>155</v>
      </c>
      <c r="B23" s="18">
        <v>1</v>
      </c>
      <c r="C23" s="18">
        <f>IF(A23&lt;&gt;"",VLOOKUP(Table4183639104107110[[#This Row],[Name]], PackagingTable[], 6, FALSE),"")</f>
        <v>4.4999999999999998E-2</v>
      </c>
      <c r="D23" s="18">
        <f>IF(Table4183639104107110[[#This Row],[Name]]&lt;&gt;"",Table4183639104107110[[#This Row],[Quantity]]*Table4183639104107110[[#This Row],[Cost Per Unit (RM)]],"")</f>
        <v>4.4999999999999998E-2</v>
      </c>
    </row>
    <row r="24" spans="1:4" ht="16.5">
      <c r="A24" s="17"/>
      <c r="B24" s="18"/>
      <c r="C24" s="18" t="str">
        <f>IF(A24&lt;&gt;"",VLOOKUP(Table4183639104107110[[#This Row],[Name]], PackagingTable[], 6, FALSE),"")</f>
        <v/>
      </c>
      <c r="D24" s="18" t="str">
        <f>IF(Table4183639104107110[[#This Row],[Name]]&lt;&gt;"",Table4183639104107110[[#This Row],[Quantity]]*Table4183639104107110[[#This Row],[Cost Per Unit (RM)]],"")</f>
        <v/>
      </c>
    </row>
    <row r="25" spans="1:4" ht="16.5">
      <c r="B25" s="13"/>
      <c r="C25" s="13"/>
      <c r="D25" s="13">
        <f>SUM(Table4183639104107110[Total Cost (RM)])</f>
        <v>0.20500000000000002</v>
      </c>
    </row>
  </sheetData>
  <dataValidations count="3">
    <dataValidation type="list" allowBlank="1" showInputMessage="1" showErrorMessage="1" sqref="A10:A11" xr:uid="{1B978B49-9AFE-484E-A7E0-EB90A5EACC0A}">
      <formula1>INDIRECT("MixedIngredientTable[Name]")</formula1>
    </dataValidation>
    <dataValidation type="list" allowBlank="1" showInputMessage="1" showErrorMessage="1" sqref="A16:A18" xr:uid="{47EA53BE-3323-46D9-90E7-506A1555585A}">
      <formula1>INDIRECT("IngredientTable[Name]")</formula1>
    </dataValidation>
    <dataValidation type="list" allowBlank="1" showInputMessage="1" showErrorMessage="1" sqref="A22:A24" xr:uid="{990904D5-8B11-45AC-A0EA-480AD4B772D3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9993-6939-4F59-9146-5465F4700848}">
  <sheetPr>
    <tabColor theme="6" tint="0.39997558519241921"/>
  </sheetPr>
  <dimension ref="A1:D25"/>
  <sheetViews>
    <sheetView workbookViewId="0">
      <selection activeCell="A18" sqref="A18"/>
    </sheetView>
  </sheetViews>
  <sheetFormatPr defaultColWidth="11" defaultRowHeight="15.75"/>
  <cols>
    <col min="1" max="1" width="22.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175</v>
      </c>
    </row>
    <row r="2" spans="1:4">
      <c r="A2" s="1" t="s">
        <v>83</v>
      </c>
      <c r="B2" s="1" t="s">
        <v>38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7</v>
      </c>
      <c r="B6" s="38">
        <f>SUM(Table1173538103106109136139[[#Totals],[Total Cost (RM)]]+Table4183639104107110137140[[#Totals],[Total Cost (RM)]]+Table114193740105108111138141[[#Totals],[Total Cost (RM)]])</f>
        <v>2.4934189189189189</v>
      </c>
      <c r="C6" s="39">
        <f>A6-B6</f>
        <v>4.5065810810810811</v>
      </c>
      <c r="D6" s="40">
        <f>(C6/A6)*100</f>
        <v>64.379729729729732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/>
      <c r="B10" s="74"/>
      <c r="C10" s="74" t="str">
        <f>IF(A10&lt;&gt;"",VLOOKUP(Table114193740105108111138141[[#This Row],[Name]], MixedIngredientTable[], 4, FALSE),"")</f>
        <v/>
      </c>
      <c r="D10" s="74" t="str">
        <f>IF(Table114193740105108111138141[[#This Row],[Name]]&lt;&gt;"",Table114193740105108111138141[[#This Row],[Quantity]]*Table114193740105108111138141[[#This Row],[Cost Per Unit (RM)]],"")</f>
        <v/>
      </c>
    </row>
    <row r="11" spans="1:4">
      <c r="A11" s="75"/>
      <c r="B11" s="75"/>
      <c r="C11" s="74" t="str">
        <f>IF(A11&lt;&gt;"",VLOOKUP(Table114193740105108111138141[[#This Row],[Name]], MixedIngredientTable[], 4, FALSE),"")</f>
        <v/>
      </c>
      <c r="D11" s="74" t="str">
        <f>IF(Table114193740105108111138141[[#This Row],[Name]]&lt;&gt;"",Table114193740105108111138141[[#This Row],[Quantity]]*Table114193740105108111138141[[#This Row],[Cost Per Unit (RM)]],"")</f>
        <v/>
      </c>
    </row>
    <row r="12" spans="1:4">
      <c r="A12" s="75"/>
      <c r="B12" s="75"/>
      <c r="C12" s="75"/>
      <c r="D12" s="74">
        <f>SUM(Table114193740105108111138141[Total Cost (RM)])</f>
        <v>0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93</v>
      </c>
      <c r="B16">
        <v>8</v>
      </c>
      <c r="C16">
        <f>IF(A16&lt;&gt;"",VLOOKUP(Table1173538103106109136139[[#This Row],[Name]], IngredientTable[], 6, FALSE),"")</f>
        <v>5.8999999999999997E-2</v>
      </c>
      <c r="D16">
        <f>IF(Table1173538103106109136139[[#This Row],[Name]]&lt;&gt;"",Table1173538103106109136139[[#This Row],[Quantity]]*Table1173538103106109136139[[#This Row],[Cost Per Unit (RM)]],"")</f>
        <v>0.47199999999999998</v>
      </c>
    </row>
    <row r="17" spans="1:4">
      <c r="A17" t="s">
        <v>97</v>
      </c>
      <c r="B17">
        <v>250</v>
      </c>
      <c r="C17">
        <f>IF(A17&lt;&gt;"",VLOOKUP(Table1173538103106109136139[[#This Row],[Name]], IngredientTable[], 6, FALSE),"")</f>
        <v>6.4900000000000001E-3</v>
      </c>
      <c r="D17">
        <f>IF(Table1173538103106109136139[[#This Row],[Name]]&lt;&gt;"",Table1173538103106109136139[[#This Row],[Quantity]]*Table1173538103106109136139[[#This Row],[Cost Per Unit (RM)]],"")</f>
        <v>1.6225000000000001</v>
      </c>
    </row>
    <row r="18" spans="1:4">
      <c r="A18" t="s">
        <v>110</v>
      </c>
      <c r="B18">
        <v>7</v>
      </c>
      <c r="C18">
        <f>IF(A18&lt;&gt;"",VLOOKUP(Table1173538103106109136139[[#This Row],[Name]], IngredientTable[], 6, FALSE),"")</f>
        <v>2.7702702702702704E-2</v>
      </c>
      <c r="D18">
        <f>IF(Table1173538103106109136139[[#This Row],[Name]]&lt;&gt;"",Table1173538103106109136139[[#This Row],[Quantity]]*Table1173538103106109136139[[#This Row],[Cost Per Unit (RM)]],"")</f>
        <v>0.19391891891891894</v>
      </c>
    </row>
    <row r="19" spans="1:4">
      <c r="D19" s="13">
        <f>SUM(Table1173538103106109136139[Total Cost (RM)])</f>
        <v>2.2884189189189188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154</v>
      </c>
      <c r="B22" s="18">
        <v>1</v>
      </c>
      <c r="C22" s="18">
        <f>IF(A22&lt;&gt;"",VLOOKUP(Table4183639104107110137140[[#This Row],[Name]], PackagingTable[], 6, FALSE),"")</f>
        <v>0.16</v>
      </c>
      <c r="D22" s="18">
        <f>IF(Table4183639104107110137140[[#This Row],[Name]]&lt;&gt;"",Table4183639104107110137140[[#This Row],[Quantity]]*Table4183639104107110137140[[#This Row],[Cost Per Unit (RM)]],"")</f>
        <v>0.16</v>
      </c>
    </row>
    <row r="23" spans="1:4">
      <c r="A23" s="17" t="s">
        <v>155</v>
      </c>
      <c r="B23" s="18">
        <v>1</v>
      </c>
      <c r="C23" s="18">
        <f>IF(A23&lt;&gt;"",VLOOKUP(Table4183639104107110137140[[#This Row],[Name]], PackagingTable[], 6, FALSE),"")</f>
        <v>4.4999999999999998E-2</v>
      </c>
      <c r="D23" s="18">
        <f>IF(Table4183639104107110137140[[#This Row],[Name]]&lt;&gt;"",Table4183639104107110137140[[#This Row],[Quantity]]*Table4183639104107110137140[[#This Row],[Cost Per Unit (RM)]],"")</f>
        <v>4.4999999999999998E-2</v>
      </c>
    </row>
    <row r="24" spans="1:4">
      <c r="A24" s="17"/>
      <c r="B24" s="18"/>
      <c r="C24" s="18" t="str">
        <f>IF(A24&lt;&gt;"",VLOOKUP(Table4183639104107110137140[[#This Row],[Name]], PackagingTable[], 6, FALSE),"")</f>
        <v/>
      </c>
      <c r="D24" s="18" t="str">
        <f>IF(Table4183639104107110137140[[#This Row],[Name]]&lt;&gt;"",Table4183639104107110137140[[#This Row],[Quantity]]*Table4183639104107110137140[[#This Row],[Cost Per Unit (RM)]],"")</f>
        <v/>
      </c>
    </row>
    <row r="25" spans="1:4">
      <c r="B25" s="13"/>
      <c r="C25" s="13"/>
      <c r="D25" s="13">
        <f>SUM(Table4183639104107110137140[Total Cost (RM)])</f>
        <v>0.20500000000000002</v>
      </c>
    </row>
  </sheetData>
  <dataValidations count="3">
    <dataValidation type="list" allowBlank="1" showInputMessage="1" showErrorMessage="1" sqref="A10:A11" xr:uid="{4278F4B9-27B9-4909-9A67-86C7D43B478F}">
      <formula1>INDIRECT("MixedIngredientTable[Name]")</formula1>
    </dataValidation>
    <dataValidation type="list" allowBlank="1" showInputMessage="1" showErrorMessage="1" sqref="A16:A18" xr:uid="{E3D9CDAF-31BB-4EF6-8887-B21AB891225B}">
      <formula1>INDIRECT("IngredientTable[Name]")</formula1>
    </dataValidation>
    <dataValidation type="list" allowBlank="1" showInputMessage="1" showErrorMessage="1" sqref="A22:A24" xr:uid="{900C8996-FFE2-4D76-AFB0-70DC118AE5CE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F6C67-7F1E-43BC-814A-23639CD48850}">
  <sheetPr>
    <tabColor theme="6" tint="0.39997558519241921"/>
  </sheetPr>
  <dimension ref="A1:D25"/>
  <sheetViews>
    <sheetView workbookViewId="0">
      <selection activeCell="B19" sqref="B19"/>
    </sheetView>
  </sheetViews>
  <sheetFormatPr defaultColWidth="11" defaultRowHeight="15.75"/>
  <cols>
    <col min="1" max="1" width="22.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176</v>
      </c>
    </row>
    <row r="2" spans="1:4">
      <c r="A2" s="1" t="s">
        <v>83</v>
      </c>
      <c r="B2" s="1" t="s">
        <v>39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7</v>
      </c>
      <c r="B6" s="38">
        <f>SUM(Table1173538103106109136[[#Totals],[Total Cost (RM)]]+Table4183639104107110137[[#Totals],[Total Cost (RM)]]+Table114193740105108111138[[#Totals],[Total Cost (RM)]])</f>
        <v>2.7570000000000001</v>
      </c>
      <c r="C6" s="39">
        <f>A6-B6</f>
        <v>4.2430000000000003</v>
      </c>
      <c r="D6" s="40">
        <f>(C6/A6)*100</f>
        <v>60.614285714285721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/>
      <c r="B10" s="74"/>
      <c r="C10" s="74" t="str">
        <f>IF(A10&lt;&gt;"",VLOOKUP(Table114193740105108111138[[#This Row],[Name]], MixedIngredientTable[], 4, FALSE),"")</f>
        <v/>
      </c>
      <c r="D10" s="74" t="str">
        <f>IF(Table114193740105108111138[[#This Row],[Name]]&lt;&gt;"",Table114193740105108111138[[#This Row],[Quantity]]*Table114193740105108111138[[#This Row],[Cost Per Unit (RM)]],"")</f>
        <v/>
      </c>
    </row>
    <row r="11" spans="1:4">
      <c r="A11" s="75"/>
      <c r="B11" s="75"/>
      <c r="C11" s="74" t="str">
        <f>IF(A11&lt;&gt;"",VLOOKUP(Table114193740105108111138[[#This Row],[Name]], MixedIngredientTable[], 4, FALSE),"")</f>
        <v/>
      </c>
      <c r="D11" s="74" t="str">
        <f>IF(Table114193740105108111138[[#This Row],[Name]]&lt;&gt;"",Table114193740105108111138[[#This Row],[Quantity]]*Table114193740105108111138[[#This Row],[Cost Per Unit (RM)]],"")</f>
        <v/>
      </c>
    </row>
    <row r="12" spans="1:4">
      <c r="A12" s="75"/>
      <c r="B12" s="75"/>
      <c r="C12" s="75"/>
      <c r="D12" s="74">
        <f>SUM(Table114193740105108111138[Total Cost (RM)])</f>
        <v>0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93</v>
      </c>
      <c r="B16">
        <v>8</v>
      </c>
      <c r="C16">
        <f>IF(A16&lt;&gt;"",VLOOKUP(Table1173538103106109136[[#This Row],[Name]], IngredientTable[], 6, FALSE),"")</f>
        <v>5.8999999999999997E-2</v>
      </c>
      <c r="D16">
        <f>IF(Table1173538103106109136[[#This Row],[Name]]&lt;&gt;"",Table1173538103106109136[[#This Row],[Quantity]]*Table1173538103106109136[[#This Row],[Cost Per Unit (RM)]],"")</f>
        <v>0.47199999999999998</v>
      </c>
    </row>
    <row r="17" spans="1:4">
      <c r="A17" t="s">
        <v>97</v>
      </c>
      <c r="B17">
        <v>250</v>
      </c>
      <c r="C17">
        <f>IF(A17&lt;&gt;"",VLOOKUP(Table1173538103106109136[[#This Row],[Name]], IngredientTable[], 6, FALSE),"")</f>
        <v>6.4900000000000001E-3</v>
      </c>
      <c r="D17">
        <f>IF(Table1173538103106109136[[#This Row],[Name]]&lt;&gt;"",Table1173538103106109136[[#This Row],[Quantity]]*Table1173538103106109136[[#This Row],[Cost Per Unit (RM)]],"")</f>
        <v>1.6225000000000001</v>
      </c>
    </row>
    <row r="18" spans="1:4">
      <c r="A18" t="s">
        <v>99</v>
      </c>
      <c r="B18">
        <v>15</v>
      </c>
      <c r="C18">
        <f>IF(A18&lt;&gt;"",VLOOKUP(Table1173538103106109136[[#This Row],[Name]], IngredientTable[], 6, FALSE),"")</f>
        <v>3.0499999999999999E-2</v>
      </c>
      <c r="D18">
        <f>IF(Table1173538103106109136[[#This Row],[Name]]&lt;&gt;"",Table1173538103106109136[[#This Row],[Quantity]]*Table1173538103106109136[[#This Row],[Cost Per Unit (RM)]],"")</f>
        <v>0.45750000000000002</v>
      </c>
    </row>
    <row r="19" spans="1:4">
      <c r="D19" s="13">
        <f>SUM(Table1173538103106109136[Total Cost (RM)])</f>
        <v>2.552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154</v>
      </c>
      <c r="B22" s="18">
        <v>1</v>
      </c>
      <c r="C22" s="18">
        <f>IF(A22&lt;&gt;"",VLOOKUP(Table4183639104107110137[[#This Row],[Name]], PackagingTable[], 6, FALSE),"")</f>
        <v>0.16</v>
      </c>
      <c r="D22" s="18">
        <f>IF(Table4183639104107110137[[#This Row],[Name]]&lt;&gt;"",Table4183639104107110137[[#This Row],[Quantity]]*Table4183639104107110137[[#This Row],[Cost Per Unit (RM)]],"")</f>
        <v>0.16</v>
      </c>
    </row>
    <row r="23" spans="1:4">
      <c r="A23" s="17" t="s">
        <v>155</v>
      </c>
      <c r="B23" s="18">
        <v>1</v>
      </c>
      <c r="C23" s="18">
        <f>IF(A23&lt;&gt;"",VLOOKUP(Table4183639104107110137[[#This Row],[Name]], PackagingTable[], 6, FALSE),"")</f>
        <v>4.4999999999999998E-2</v>
      </c>
      <c r="D23" s="18">
        <f>IF(Table4183639104107110137[[#This Row],[Name]]&lt;&gt;"",Table4183639104107110137[[#This Row],[Quantity]]*Table4183639104107110137[[#This Row],[Cost Per Unit (RM)]],"")</f>
        <v>4.4999999999999998E-2</v>
      </c>
    </row>
    <row r="24" spans="1:4">
      <c r="A24" s="17"/>
      <c r="B24" s="18"/>
      <c r="C24" s="18" t="str">
        <f>IF(A24&lt;&gt;"",VLOOKUP(Table4183639104107110137[[#This Row],[Name]], PackagingTable[], 6, FALSE),"")</f>
        <v/>
      </c>
      <c r="D24" s="18" t="str">
        <f>IF(Table4183639104107110137[[#This Row],[Name]]&lt;&gt;"",Table4183639104107110137[[#This Row],[Quantity]]*Table4183639104107110137[[#This Row],[Cost Per Unit (RM)]],"")</f>
        <v/>
      </c>
    </row>
    <row r="25" spans="1:4">
      <c r="B25" s="13"/>
      <c r="C25" s="13"/>
      <c r="D25" s="13">
        <f>SUM(Table4183639104107110137[Total Cost (RM)])</f>
        <v>0.20500000000000002</v>
      </c>
    </row>
  </sheetData>
  <dataValidations count="3">
    <dataValidation type="list" allowBlank="1" showInputMessage="1" showErrorMessage="1" sqref="A22:A24" xr:uid="{B09D53B8-9AB8-4356-AF6A-6DDF71ADF183}">
      <formula1>INDIRECT("PackagingTable[Name]")</formula1>
    </dataValidation>
    <dataValidation type="list" allowBlank="1" showInputMessage="1" showErrorMessage="1" sqref="A16:A18" xr:uid="{26AA2290-139C-4C89-A9D3-7481FD049287}">
      <formula1>INDIRECT("IngredientTable[Name]")</formula1>
    </dataValidation>
    <dataValidation type="list" allowBlank="1" showInputMessage="1" showErrorMessage="1" sqref="A10:A11" xr:uid="{7C332C5A-4AB9-4076-A300-6E6F177BB773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E0F9-27BD-4F7C-B716-3567B2D4CD7B}">
  <sheetPr>
    <tabColor theme="6" tint="0.39997558519241921"/>
  </sheetPr>
  <dimension ref="A1:D25"/>
  <sheetViews>
    <sheetView workbookViewId="0">
      <selection activeCell="A7" sqref="A7"/>
    </sheetView>
  </sheetViews>
  <sheetFormatPr defaultColWidth="11" defaultRowHeight="15.75"/>
  <cols>
    <col min="1" max="1" width="22.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177</v>
      </c>
    </row>
    <row r="2" spans="1:4">
      <c r="A2" s="1" t="s">
        <v>83</v>
      </c>
      <c r="B2" s="1" t="s">
        <v>41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10.9</v>
      </c>
      <c r="B6" s="38">
        <f ca="1">SUM(Table1173538103106109118121124[[#Totals],[Total Cost (RM)]]+Table4183639104107110119122125[[#Totals],[Total Cost (RM)]]+Table114193740105108111120123126[[#Totals],[Total Cost (RM)]])</f>
        <v>3.8262763636363633</v>
      </c>
      <c r="C6" s="39">
        <f ca="1">A6-B6</f>
        <v>7.0737236363636367</v>
      </c>
      <c r="D6" s="40">
        <f ca="1">(C6/A6)*100</f>
        <v>64.896547122602172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 t="s">
        <v>80</v>
      </c>
      <c r="B10" s="74">
        <v>90</v>
      </c>
      <c r="C10" s="74">
        <f ca="1">IF(A10&lt;&gt;"",VLOOKUP(Table114193740105108111120123126[[#This Row],[Name]], MixedIngredientTable[], 4, FALSE),"")</f>
        <v>2.523373737373737E-2</v>
      </c>
      <c r="D10" s="74">
        <f ca="1">IF(Table114193740105108111120123126[[#This Row],[Name]]&lt;&gt;"",Table114193740105108111120123126[[#This Row],[Quantity]]*Table114193740105108111120123126[[#This Row],[Cost Per Unit (RM)]],"")</f>
        <v>2.2710363636363633</v>
      </c>
    </row>
    <row r="11" spans="1:4">
      <c r="A11" s="75"/>
      <c r="B11" s="75"/>
      <c r="C11" s="74" t="str">
        <f>IF(A11&lt;&gt;"",VLOOKUP(Table114193740105108111120123126[[#This Row],[Name]], MixedIngredientTable[], 4, FALSE),"")</f>
        <v/>
      </c>
      <c r="D11" s="74" t="str">
        <f>IF(Table114193740105108111120123126[[#This Row],[Name]]&lt;&gt;"",Table114193740105108111120123126[[#This Row],[Quantity]]*Table114193740105108111120123126[[#This Row],[Cost Per Unit (RM)]],"")</f>
        <v/>
      </c>
    </row>
    <row r="12" spans="1:4">
      <c r="A12" s="75"/>
      <c r="B12" s="75"/>
      <c r="C12" s="75"/>
      <c r="D12" s="74">
        <f ca="1">SUM(Table114193740105108111120123126[Total Cost (RM)])</f>
        <v>2.2710363636363633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250</v>
      </c>
      <c r="C16">
        <f>IF(A16&lt;&gt;"",VLOOKUP(Table1173538103106109118121124[[#This Row],[Name]], IngredientTable[], 6, FALSE),"")</f>
        <v>4.4999999999999997E-3</v>
      </c>
      <c r="D16">
        <f>IF(Table1173538103106109118121124[[#This Row],[Name]]&lt;&gt;"",Table1173538103106109118121124[[#This Row],[Quantity]]*Table1173538103106109118121124[[#This Row],[Cost Per Unit (RM)]],"")</f>
        <v>1.125</v>
      </c>
    </row>
    <row r="17" spans="1:4">
      <c r="C17" t="str">
        <f>IF(A17&lt;&gt;"",VLOOKUP(Table1173538103106109118121124[[#This Row],[Name]], IngredientTable[], 6, FALSE),"")</f>
        <v/>
      </c>
      <c r="D17" t="str">
        <f>IF(Table1173538103106109118121124[[#This Row],[Name]]&lt;&gt;"",Table1173538103106109118121124[[#This Row],[Quantity]]*Table1173538103106109118121124[[#This Row],[Cost Per Unit (RM)]],"")</f>
        <v/>
      </c>
    </row>
    <row r="18" spans="1:4">
      <c r="C18" t="str">
        <f>IF(A18&lt;&gt;"",VLOOKUP(Table1173538103106109118121124[[#This Row],[Name]], IngredientTable[], 6, FALSE),"")</f>
        <v/>
      </c>
      <c r="D18" t="str">
        <f>IF(Table1173538103106109118121124[[#This Row],[Name]]&lt;&gt;"",Table1173538103106109118121124[[#This Row],[Quantity]]*Table1173538103106109118121124[[#This Row],[Cost Per Unit (RM)]],"")</f>
        <v/>
      </c>
    </row>
    <row r="19" spans="1:4">
      <c r="D19" s="13">
        <f>SUM(Table1173538103106109118121124[Total Cost (RM)])</f>
        <v>1.125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141</v>
      </c>
      <c r="B22" s="18">
        <v>1</v>
      </c>
      <c r="C22" s="18">
        <f>IF(A22&lt;&gt;"",VLOOKUP(Table4183639104107110119122125[[#This Row],[Name]], PackagingTable[], 6, FALSE),"")</f>
        <v>0.40223999999999999</v>
      </c>
      <c r="D22" s="18">
        <f>IF(Table4183639104107110119122125[[#This Row],[Name]]&lt;&gt;"",Table4183639104107110119122125[[#This Row],[Quantity]]*Table4183639104107110119122125[[#This Row],[Cost Per Unit (RM)]],"")</f>
        <v>0.40223999999999999</v>
      </c>
    </row>
    <row r="23" spans="1:4">
      <c r="A23" s="17" t="s">
        <v>145</v>
      </c>
      <c r="B23" s="18">
        <v>1</v>
      </c>
      <c r="C23" s="18">
        <f>IF(A23&lt;&gt;"",VLOOKUP(Table4183639104107110119122125[[#This Row],[Name]], PackagingTable[], 6, FALSE),"")</f>
        <v>2.7999999999999997E-2</v>
      </c>
      <c r="D23" s="18">
        <f>IF(Table4183639104107110119122125[[#This Row],[Name]]&lt;&gt;"",Table4183639104107110119122125[[#This Row],[Quantity]]*Table4183639104107110119122125[[#This Row],[Cost Per Unit (RM)]],"")</f>
        <v>2.7999999999999997E-2</v>
      </c>
    </row>
    <row r="24" spans="1:4">
      <c r="A24" s="17"/>
      <c r="B24" s="18"/>
      <c r="C24" s="18" t="str">
        <f>IF(A24&lt;&gt;"",VLOOKUP(Table4183639104107110119122125[[#This Row],[Name]], PackagingTable[], 6, FALSE),"")</f>
        <v/>
      </c>
      <c r="D24" s="18" t="str">
        <f>IF(Table4183639104107110119122125[[#This Row],[Name]]&lt;&gt;"",Table4183639104107110119122125[[#This Row],[Quantity]]*Table4183639104107110119122125[[#This Row],[Cost Per Unit (RM)]],"")</f>
        <v/>
      </c>
    </row>
    <row r="25" spans="1:4">
      <c r="B25" s="13"/>
      <c r="C25" s="13"/>
      <c r="D25" s="13">
        <f>SUM(Table4183639104107110119122125[Total Cost (RM)])</f>
        <v>0.43023999999999996</v>
      </c>
    </row>
  </sheetData>
  <dataValidations count="3">
    <dataValidation type="list" allowBlank="1" showInputMessage="1" showErrorMessage="1" sqref="A22:A24" xr:uid="{9D278969-BFFC-458D-857E-BF76458F5972}">
      <formula1>INDIRECT("PackagingTable[Name]")</formula1>
    </dataValidation>
    <dataValidation type="list" allowBlank="1" showInputMessage="1" showErrorMessage="1" sqref="A16:A18" xr:uid="{0808AD85-B107-4960-BC46-7C9A65B747CE}">
      <formula1>INDIRECT("IngredientTable[Name]")</formula1>
    </dataValidation>
    <dataValidation type="list" allowBlank="1" showInputMessage="1" showErrorMessage="1" sqref="A10:A11" xr:uid="{D454FA88-836A-4CFB-A840-DCBE61B1A109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07A8-C694-4F70-B211-06580380BE2A}">
  <sheetPr>
    <tabColor theme="6" tint="0.39997558519241921"/>
  </sheetPr>
  <dimension ref="A1:D25"/>
  <sheetViews>
    <sheetView workbookViewId="0">
      <selection activeCell="A7" sqref="A7"/>
    </sheetView>
  </sheetViews>
  <sheetFormatPr defaultColWidth="11" defaultRowHeight="15.75"/>
  <cols>
    <col min="1" max="1" width="22.5" bestFit="1" customWidth="1"/>
    <col min="2" max="2" width="20.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178</v>
      </c>
    </row>
    <row r="2" spans="1:4">
      <c r="A2" s="1" t="s">
        <v>83</v>
      </c>
      <c r="B2" s="1" t="s">
        <v>42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10.9</v>
      </c>
      <c r="B6" s="38">
        <f ca="1">SUM(Table1173538103106109118121124127[[#Totals],[Total Cost (RM)]]+Table4183639104107110119122125128[[#Totals],[Total Cost (RM)]]+Table114193740105108111120123126129[[#Totals],[Total Cost (RM)]])</f>
        <v>3.3342189473684209</v>
      </c>
      <c r="C6" s="39">
        <f ca="1">A6-B6</f>
        <v>7.5657810526315794</v>
      </c>
      <c r="D6" s="40">
        <f ca="1">(C6/A6)*100</f>
        <v>69.410835345243854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 t="s">
        <v>81</v>
      </c>
      <c r="B10" s="74">
        <v>90</v>
      </c>
      <c r="C10" s="74">
        <f ca="1">IF(A10&lt;&gt;"",VLOOKUP(Table114193740105108111120123126129[[#This Row],[Name]], MixedIngredientTable[], 4, FALSE),"")</f>
        <v>1.976643274853801E-2</v>
      </c>
      <c r="D10" s="74">
        <f ca="1">IF(Table114193740105108111120123126129[[#This Row],[Name]]&lt;&gt;"",Table114193740105108111120123126129[[#This Row],[Quantity]]*Table114193740105108111120123126129[[#This Row],[Cost Per Unit (RM)]],"")</f>
        <v>1.778978947368421</v>
      </c>
    </row>
    <row r="11" spans="1:4">
      <c r="A11" s="75"/>
      <c r="B11" s="75"/>
      <c r="C11" s="74" t="str">
        <f>IF(A11&lt;&gt;"",VLOOKUP(Table114193740105108111120123126129[[#This Row],[Name]], MixedIngredientTable[], 4, FALSE),"")</f>
        <v/>
      </c>
      <c r="D11" s="74" t="str">
        <f>IF(Table114193740105108111120123126129[[#This Row],[Name]]&lt;&gt;"",Table114193740105108111120123126129[[#This Row],[Quantity]]*Table114193740105108111120123126129[[#This Row],[Cost Per Unit (RM)]],"")</f>
        <v/>
      </c>
    </row>
    <row r="12" spans="1:4">
      <c r="A12" s="75"/>
      <c r="B12" s="75"/>
      <c r="C12" s="75"/>
      <c r="D12" s="74">
        <f ca="1">SUM(Table114193740105108111120123126129[Total Cost (RM)])</f>
        <v>1.778978947368421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250</v>
      </c>
      <c r="C16">
        <f>IF(A16&lt;&gt;"",VLOOKUP(Table1173538103106109118121124127[[#This Row],[Name]], IngredientTable[], 6, FALSE),"")</f>
        <v>4.4999999999999997E-3</v>
      </c>
      <c r="D16">
        <f>IF(Table1173538103106109118121124127[[#This Row],[Name]]&lt;&gt;"",Table1173538103106109118121124127[[#This Row],[Quantity]]*Table1173538103106109118121124127[[#This Row],[Cost Per Unit (RM)]],"")</f>
        <v>1.125</v>
      </c>
    </row>
    <row r="17" spans="1:4">
      <c r="C17" t="str">
        <f>IF(A17&lt;&gt;"",VLOOKUP(Table1173538103106109118121124127[[#This Row],[Name]], IngredientTable[], 6, FALSE),"")</f>
        <v/>
      </c>
      <c r="D17" t="str">
        <f>IF(Table1173538103106109118121124127[[#This Row],[Name]]&lt;&gt;"",Table1173538103106109118121124127[[#This Row],[Quantity]]*Table1173538103106109118121124127[[#This Row],[Cost Per Unit (RM)]],"")</f>
        <v/>
      </c>
    </row>
    <row r="18" spans="1:4">
      <c r="C18" t="str">
        <f>IF(A18&lt;&gt;"",VLOOKUP(Table1173538103106109118121124127[[#This Row],[Name]], IngredientTable[], 6, FALSE),"")</f>
        <v/>
      </c>
      <c r="D18" t="str">
        <f>IF(Table1173538103106109118121124127[[#This Row],[Name]]&lt;&gt;"",Table1173538103106109118121124127[[#This Row],[Quantity]]*Table1173538103106109118121124127[[#This Row],[Cost Per Unit (RM)]],"")</f>
        <v/>
      </c>
    </row>
    <row r="19" spans="1:4">
      <c r="D19" s="13">
        <f>SUM(Table1173538103106109118121124127[Total Cost (RM)])</f>
        <v>1.125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141</v>
      </c>
      <c r="B22" s="18">
        <v>1</v>
      </c>
      <c r="C22" s="18">
        <f>IF(A22&lt;&gt;"",VLOOKUP(Table4183639104107110119122125128[[#This Row],[Name]], PackagingTable[], 6, FALSE),"")</f>
        <v>0.40223999999999999</v>
      </c>
      <c r="D22" s="18">
        <f>IF(Table4183639104107110119122125128[[#This Row],[Name]]&lt;&gt;"",Table4183639104107110119122125128[[#This Row],[Quantity]]*Table4183639104107110119122125128[[#This Row],[Cost Per Unit (RM)]],"")</f>
        <v>0.40223999999999999</v>
      </c>
    </row>
    <row r="23" spans="1:4">
      <c r="A23" s="17" t="s">
        <v>145</v>
      </c>
      <c r="B23" s="18">
        <v>1</v>
      </c>
      <c r="C23" s="18">
        <f>IF(A23&lt;&gt;"",VLOOKUP(Table4183639104107110119122125128[[#This Row],[Name]], PackagingTable[], 6, FALSE),"")</f>
        <v>2.7999999999999997E-2</v>
      </c>
      <c r="D23" s="18">
        <f>IF(Table4183639104107110119122125128[[#This Row],[Name]]&lt;&gt;"",Table4183639104107110119122125128[[#This Row],[Quantity]]*Table4183639104107110119122125128[[#This Row],[Cost Per Unit (RM)]],"")</f>
        <v>2.7999999999999997E-2</v>
      </c>
    </row>
    <row r="24" spans="1:4">
      <c r="A24" s="17"/>
      <c r="B24" s="18"/>
      <c r="C24" s="18" t="str">
        <f>IF(A24&lt;&gt;"",VLOOKUP(Table4183639104107110119122125128[[#This Row],[Name]], PackagingTable[], 6, FALSE),"")</f>
        <v/>
      </c>
      <c r="D24" s="18" t="str">
        <f>IF(Table4183639104107110119122125128[[#This Row],[Name]]&lt;&gt;"",Table4183639104107110119122125128[[#This Row],[Quantity]]*Table4183639104107110119122125128[[#This Row],[Cost Per Unit (RM)]],"")</f>
        <v/>
      </c>
    </row>
    <row r="25" spans="1:4">
      <c r="B25" s="13"/>
      <c r="C25" s="13"/>
      <c r="D25" s="13">
        <f>SUM(Table4183639104107110119122125128[Total Cost (RM)])</f>
        <v>0.43023999999999996</v>
      </c>
    </row>
  </sheetData>
  <dataValidations count="3">
    <dataValidation type="list" allowBlank="1" showInputMessage="1" showErrorMessage="1" sqref="A10:A11" xr:uid="{0EE0216B-E22E-48DE-B82B-6D44CB4FB53B}">
      <formula1>INDIRECT("MixedIngredientTable[Name]")</formula1>
    </dataValidation>
    <dataValidation type="list" allowBlank="1" showInputMessage="1" showErrorMessage="1" sqref="A16:A18" xr:uid="{744481B4-ADDD-4FB0-9B04-8A9C95071FF4}">
      <formula1>INDIRECT("IngredientTable[Name]")</formula1>
    </dataValidation>
    <dataValidation type="list" allowBlank="1" showInputMessage="1" showErrorMessage="1" sqref="A22:A24" xr:uid="{F175579F-92B2-400F-9391-97B02529F9DD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F2B8-15AE-4266-9820-6AF68F4DFF19}">
  <sheetPr>
    <tabColor theme="6" tint="0.39997558519241921"/>
  </sheetPr>
  <dimension ref="A1:D25"/>
  <sheetViews>
    <sheetView workbookViewId="0">
      <selection activeCell="A7" sqref="A7"/>
    </sheetView>
  </sheetViews>
  <sheetFormatPr defaultColWidth="11" defaultRowHeight="15.75"/>
  <cols>
    <col min="1" max="1" width="22.5" bestFit="1" customWidth="1"/>
    <col min="2" max="2" width="22.62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179</v>
      </c>
    </row>
    <row r="2" spans="1:4">
      <c r="A2" s="1" t="s">
        <v>83</v>
      </c>
      <c r="B2" s="1" t="s">
        <v>43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10.5</v>
      </c>
      <c r="B6" s="38">
        <f ca="1">SUM(Table1173538103106109118121124127130[[#Totals],[Total Cost (RM)]]+Table4183639104107110119122125128131[[#Totals],[Total Cost (RM)]]+Table114193740105108111120123126129132[[#Totals],[Total Cost (RM)]])</f>
        <v>3.3342189473684209</v>
      </c>
      <c r="C6" s="39">
        <f ca="1">A6-B6</f>
        <v>7.1657810526315791</v>
      </c>
      <c r="D6" s="40">
        <f ca="1">(C6/A6)*100</f>
        <v>68.245533834586467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 t="s">
        <v>81</v>
      </c>
      <c r="B10" s="74">
        <v>90</v>
      </c>
      <c r="C10" s="74">
        <f ca="1">IF(A10&lt;&gt;"",VLOOKUP(Table114193740105108111120123126129132[[#This Row],[Name]], MixedIngredientTable[], 4, FALSE),"")</f>
        <v>1.976643274853801E-2</v>
      </c>
      <c r="D10" s="74">
        <f ca="1">IF(Table114193740105108111120123126129132[[#This Row],[Name]]&lt;&gt;"",Table114193740105108111120123126129132[[#This Row],[Quantity]]*Table114193740105108111120123126129132[[#This Row],[Cost Per Unit (RM)]],"")</f>
        <v>1.778978947368421</v>
      </c>
    </row>
    <row r="11" spans="1:4">
      <c r="A11" s="75"/>
      <c r="B11" s="75"/>
      <c r="C11" s="74" t="str">
        <f>IF(A11&lt;&gt;"",VLOOKUP(Table114193740105108111120123126129132[[#This Row],[Name]], MixedIngredientTable[], 4, FALSE),"")</f>
        <v/>
      </c>
      <c r="D11" s="74" t="str">
        <f>IF(Table114193740105108111120123126129132[[#This Row],[Name]]&lt;&gt;"",Table114193740105108111120123126129132[[#This Row],[Quantity]]*Table114193740105108111120123126129132[[#This Row],[Cost Per Unit (RM)]],"")</f>
        <v/>
      </c>
    </row>
    <row r="12" spans="1:4">
      <c r="A12" s="75"/>
      <c r="B12" s="75"/>
      <c r="C12" s="75"/>
      <c r="D12" s="74">
        <f ca="1">SUM(Table114193740105108111120123126129132[Total Cost (RM)])</f>
        <v>1.778978947368421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105</v>
      </c>
      <c r="B16">
        <v>250</v>
      </c>
      <c r="C16">
        <f>IF(A16&lt;&gt;"",VLOOKUP(Table1173538103106109118121124127130[[#This Row],[Name]], IngredientTable[], 6, FALSE),"")</f>
        <v>4.4999999999999997E-3</v>
      </c>
      <c r="D16">
        <f>IF(Table1173538103106109118121124127130[[#This Row],[Name]]&lt;&gt;"",Table1173538103106109118121124127130[[#This Row],[Quantity]]*Table1173538103106109118121124127130[[#This Row],[Cost Per Unit (RM)]],"")</f>
        <v>1.125</v>
      </c>
    </row>
    <row r="17" spans="1:4">
      <c r="C17" t="str">
        <f>IF(A17&lt;&gt;"",VLOOKUP(Table1173538103106109118121124127130[[#This Row],[Name]], IngredientTable[], 6, FALSE),"")</f>
        <v/>
      </c>
      <c r="D17" t="str">
        <f>IF(Table1173538103106109118121124127130[[#This Row],[Name]]&lt;&gt;"",Table1173538103106109118121124127130[[#This Row],[Quantity]]*Table1173538103106109118121124127130[[#This Row],[Cost Per Unit (RM)]],"")</f>
        <v/>
      </c>
    </row>
    <row r="18" spans="1:4">
      <c r="C18" t="str">
        <f>IF(A18&lt;&gt;"",VLOOKUP(Table1173538103106109118121124127130[[#This Row],[Name]], IngredientTable[], 6, FALSE),"")</f>
        <v/>
      </c>
      <c r="D18" t="str">
        <f>IF(Table1173538103106109118121124127130[[#This Row],[Name]]&lt;&gt;"",Table1173538103106109118121124127130[[#This Row],[Quantity]]*Table1173538103106109118121124127130[[#This Row],[Cost Per Unit (RM)]],"")</f>
        <v/>
      </c>
    </row>
    <row r="19" spans="1:4">
      <c r="D19" s="13">
        <f>SUM(Table1173538103106109118121124127130[Total Cost (RM)])</f>
        <v>1.125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141</v>
      </c>
      <c r="B22" s="18">
        <v>1</v>
      </c>
      <c r="C22" s="18">
        <f>IF(A22&lt;&gt;"",VLOOKUP(Table4183639104107110119122125128131[[#This Row],[Name]], PackagingTable[], 6, FALSE),"")</f>
        <v>0.40223999999999999</v>
      </c>
      <c r="D22" s="18">
        <f>IF(Table4183639104107110119122125128131[[#This Row],[Name]]&lt;&gt;"",Table4183639104107110119122125128131[[#This Row],[Quantity]]*Table4183639104107110119122125128131[[#This Row],[Cost Per Unit (RM)]],"")</f>
        <v>0.40223999999999999</v>
      </c>
    </row>
    <row r="23" spans="1:4">
      <c r="A23" s="17" t="s">
        <v>145</v>
      </c>
      <c r="B23" s="18">
        <v>1</v>
      </c>
      <c r="C23" s="18">
        <f>IF(A23&lt;&gt;"",VLOOKUP(Table4183639104107110119122125128131[[#This Row],[Name]], PackagingTable[], 6, FALSE),"")</f>
        <v>2.7999999999999997E-2</v>
      </c>
      <c r="D23" s="18">
        <f>IF(Table4183639104107110119122125128131[[#This Row],[Name]]&lt;&gt;"",Table4183639104107110119122125128131[[#This Row],[Quantity]]*Table4183639104107110119122125128131[[#This Row],[Cost Per Unit (RM)]],"")</f>
        <v>2.7999999999999997E-2</v>
      </c>
    </row>
    <row r="24" spans="1:4">
      <c r="A24" s="17"/>
      <c r="B24" s="18"/>
      <c r="C24" s="18" t="str">
        <f>IF(A24&lt;&gt;"",VLOOKUP(Table4183639104107110119122125128131[[#This Row],[Name]], PackagingTable[], 6, FALSE),"")</f>
        <v/>
      </c>
      <c r="D24" s="18" t="str">
        <f>IF(Table4183639104107110119122125128131[[#This Row],[Name]]&lt;&gt;"",Table4183639104107110119122125128131[[#This Row],[Quantity]]*Table4183639104107110119122125128131[[#This Row],[Cost Per Unit (RM)]],"")</f>
        <v/>
      </c>
    </row>
    <row r="25" spans="1:4">
      <c r="B25" s="13"/>
      <c r="C25" s="13"/>
      <c r="D25" s="13">
        <f>SUM(Table4183639104107110119122125128131[Total Cost (RM)])</f>
        <v>0.43023999999999996</v>
      </c>
    </row>
  </sheetData>
  <dataValidations count="3">
    <dataValidation type="list" allowBlank="1" showInputMessage="1" showErrorMessage="1" sqref="A22:A24" xr:uid="{DFB335F9-7DA4-48C8-BB59-756A10B0488A}">
      <formula1>INDIRECT("PackagingTable[Name]")</formula1>
    </dataValidation>
    <dataValidation type="list" allowBlank="1" showInputMessage="1" showErrorMessage="1" sqref="A16:A18" xr:uid="{C9804BBE-EABE-4A2A-8409-BC63076BCAC8}">
      <formula1>INDIRECT("IngredientTable[Name]")</formula1>
    </dataValidation>
    <dataValidation type="list" allowBlank="1" showInputMessage="1" showErrorMessage="1" sqref="A10:A11" xr:uid="{4BB4BA01-A8A0-45CF-806B-7D9AA1B67195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1702-D84E-4327-9F97-799F8417D4E5}">
  <sheetPr>
    <tabColor theme="6" tint="0.39997558519241921"/>
  </sheetPr>
  <dimension ref="A1:D25"/>
  <sheetViews>
    <sheetView workbookViewId="0">
      <selection activeCell="C10" sqref="C10"/>
    </sheetView>
  </sheetViews>
  <sheetFormatPr defaultColWidth="11" defaultRowHeight="15.75"/>
  <cols>
    <col min="1" max="1" width="26.5" bestFit="1" customWidth="1"/>
    <col min="2" max="2" width="25.12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180</v>
      </c>
    </row>
    <row r="2" spans="1:4">
      <c r="A2" s="1" t="s">
        <v>83</v>
      </c>
      <c r="B2" s="1" t="s">
        <v>181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9.9</v>
      </c>
      <c r="B6" s="38">
        <f ca="1">SUM(Table1173538103106109118121124127130118121[[#Totals],[Total Cost (RM)]]+Table4183639104107110119122125128131119122[[#Totals],[Total Cost (RM)]]+Table114193740105108111120123126129132120123[[#Totals],[Total Cost (RM)]])</f>
        <v>3.9564385964912283</v>
      </c>
      <c r="C6" s="39">
        <f ca="1">A6-B6</f>
        <v>5.943561403508772</v>
      </c>
      <c r="D6" s="40">
        <f ca="1">(C6/A6)*100</f>
        <v>60.035973772815879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 t="s">
        <v>75</v>
      </c>
      <c r="B10" s="74">
        <v>90</v>
      </c>
      <c r="C10" s="74">
        <f ca="1">IF(A10&lt;&gt;"",VLOOKUP(Table114193740105108111120123126129132120123[[#This Row],[Name]], MixedIngredientTable[], 4, FALSE),"")</f>
        <v>5.5789473684210522E-3</v>
      </c>
      <c r="D10" s="74">
        <f ca="1">IF(Table114193740105108111120123126129132120123[[#This Row],[Name]]&lt;&gt;"",Table114193740105108111120123126129132120123[[#This Row],[Quantity]]*Table114193740105108111120123126129132120123[[#This Row],[Cost Per Unit (RM)]],"")</f>
        <v>0.50210526315789472</v>
      </c>
    </row>
    <row r="11" spans="1:4">
      <c r="A11" s="75"/>
      <c r="B11" s="75"/>
      <c r="C11" s="74" t="str">
        <f>IF(A11&lt;&gt;"",VLOOKUP(Table114193740105108111120123126129132120123[[#This Row],[Name]], MixedIngredientTable[], 4, FALSE),"")</f>
        <v/>
      </c>
      <c r="D11" s="74" t="str">
        <f>IF(Table114193740105108111120123126129132120123[[#This Row],[Name]]&lt;&gt;"",Table114193740105108111120123126129132120123[[#This Row],[Quantity]]*Table114193740105108111120123126129132120123[[#This Row],[Cost Per Unit (RM)]],"")</f>
        <v/>
      </c>
    </row>
    <row r="12" spans="1:4">
      <c r="A12" s="75"/>
      <c r="B12" s="75"/>
      <c r="C12" s="75"/>
      <c r="D12" s="74">
        <f ca="1">SUM(Table114193740105108111120123126129132120123[Total Cost (RM)])</f>
        <v>0.50210526315789472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116</v>
      </c>
      <c r="B16">
        <v>15</v>
      </c>
      <c r="C16">
        <f>IF(A16&lt;&gt;"",VLOOKUP(Table1173538103106109118121124127130118121[[#This Row],[Name]], IngredientTable[], 6, FALSE),"")</f>
        <v>3.3000000000000002E-2</v>
      </c>
      <c r="D16">
        <f>IF(Table1173538103106109118121124127130118121[[#This Row],[Name]]&lt;&gt;"",Table1173538103106109118121124127130118121[[#This Row],[Quantity]]*Table1173538103106109118121124127130118121[[#This Row],[Cost Per Unit (RM)]],"")</f>
        <v>0.495</v>
      </c>
    </row>
    <row r="17" spans="1:4">
      <c r="A17" t="s">
        <v>131</v>
      </c>
      <c r="B17">
        <v>1</v>
      </c>
      <c r="C17">
        <f>IF(A17&lt;&gt;"",VLOOKUP(Table1173538103106109118121124127130118121[[#This Row],[Name]], IngredientTable[], 6, FALSE),"")</f>
        <v>0.48333333333333334</v>
      </c>
      <c r="D17">
        <f>IF(Table1173538103106109118121124127130118121[[#This Row],[Name]]&lt;&gt;"",Table1173538103106109118121124127130118121[[#This Row],[Quantity]]*Table1173538103106109118121124127130118121[[#This Row],[Cost Per Unit (RM)]],"")</f>
        <v>0.48333333333333334</v>
      </c>
    </row>
    <row r="18" spans="1:4">
      <c r="A18" t="s">
        <v>105</v>
      </c>
      <c r="B18">
        <v>500</v>
      </c>
      <c r="C18">
        <f>IF(A18&lt;&gt;"",VLOOKUP(Table1173538103106109118121124127130118121[[#This Row],[Name]], IngredientTable[], 6, FALSE),"")</f>
        <v>4.4999999999999997E-3</v>
      </c>
      <c r="D18">
        <f>IF(Table1173538103106109118121124127130118121[[#This Row],[Name]]&lt;&gt;"",Table1173538103106109118121124127130118121[[#This Row],[Quantity]]*Table1173538103106109118121124127130118121[[#This Row],[Cost Per Unit (RM)]],"")</f>
        <v>2.25</v>
      </c>
    </row>
    <row r="19" spans="1:4">
      <c r="D19" s="13">
        <f>SUM(Table1173538103106109118121124127130118121[Total Cost (RM)])</f>
        <v>3.2283333333333335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156</v>
      </c>
      <c r="B22" s="18">
        <v>1</v>
      </c>
      <c r="C22" s="18">
        <f>IF(A22&lt;&gt;"",VLOOKUP(Table4183639104107110119122125128131119122[[#This Row],[Name]], PackagingTable[], 6, FALSE),"")</f>
        <v>0.19800000000000001</v>
      </c>
      <c r="D22" s="18">
        <f>IF(Table4183639104107110119122125128131119122[[#This Row],[Name]]&lt;&gt;"",Table4183639104107110119122125128131119122[[#This Row],[Quantity]]*Table4183639104107110119122125128131119122[[#This Row],[Cost Per Unit (RM)]],"")</f>
        <v>0.19800000000000001</v>
      </c>
    </row>
    <row r="23" spans="1:4">
      <c r="A23" s="17" t="s">
        <v>145</v>
      </c>
      <c r="B23" s="18">
        <v>1</v>
      </c>
      <c r="C23" s="18">
        <f>IF(A23&lt;&gt;"",VLOOKUP(Table4183639104107110119122125128131119122[[#This Row],[Name]], PackagingTable[], 6, FALSE),"")</f>
        <v>2.7999999999999997E-2</v>
      </c>
      <c r="D23" s="18">
        <f>IF(Table4183639104107110119122125128131119122[[#This Row],[Name]]&lt;&gt;"",Table4183639104107110119122125128131119122[[#This Row],[Quantity]]*Table4183639104107110119122125128131119122[[#This Row],[Cost Per Unit (RM)]],"")</f>
        <v>2.7999999999999997E-2</v>
      </c>
    </row>
    <row r="24" spans="1:4">
      <c r="A24" s="17"/>
      <c r="B24" s="18"/>
      <c r="C24" s="18" t="str">
        <f>IF(A24&lt;&gt;"",VLOOKUP(Table4183639104107110119122125128131119122[[#This Row],[Name]], PackagingTable[], 6, FALSE),"")</f>
        <v/>
      </c>
      <c r="D24" s="18" t="str">
        <f>IF(Table4183639104107110119122125128131119122[[#This Row],[Name]]&lt;&gt;"",Table4183639104107110119122125128131119122[[#This Row],[Quantity]]*Table4183639104107110119122125128131119122[[#This Row],[Cost Per Unit (RM)]],"")</f>
        <v/>
      </c>
    </row>
    <row r="25" spans="1:4">
      <c r="B25" s="13"/>
      <c r="C25" s="13"/>
      <c r="D25" s="13">
        <f>SUM(Table4183639104107110119122125128131119122[Total Cost (RM)])</f>
        <v>0.22600000000000001</v>
      </c>
    </row>
  </sheetData>
  <dataValidations count="3">
    <dataValidation type="list" allowBlank="1" showInputMessage="1" showErrorMessage="1" sqref="A22:A24" xr:uid="{DBAC0A5B-A9D7-469E-948C-5D038B8CFEA9}">
      <formula1>INDIRECT("PackagingTable[Name]")</formula1>
    </dataValidation>
    <dataValidation type="list" allowBlank="1" showInputMessage="1" showErrorMessage="1" sqref="A16:A18" xr:uid="{BF904845-FC5E-4FA8-B05B-E366B47605D7}">
      <formula1>INDIRECT("IngredientTable[Name]")</formula1>
    </dataValidation>
    <dataValidation type="list" allowBlank="1" showInputMessage="1" showErrorMessage="1" sqref="A10:A11" xr:uid="{63663038-9B38-4442-B747-89C3133AA8C9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33ED-72B4-4A2D-9C32-A1FC646D216F}">
  <sheetPr>
    <tabColor theme="6" tint="0.39997558519241921"/>
  </sheetPr>
  <dimension ref="A1:D25"/>
  <sheetViews>
    <sheetView workbookViewId="0">
      <selection activeCell="A18" sqref="A18"/>
    </sheetView>
  </sheetViews>
  <sheetFormatPr defaultColWidth="11" defaultRowHeight="15.75"/>
  <cols>
    <col min="1" max="1" width="26.5" bestFit="1" customWidth="1"/>
    <col min="2" max="2" width="25.62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182</v>
      </c>
    </row>
    <row r="2" spans="1:4">
      <c r="A2" s="1" t="s">
        <v>83</v>
      </c>
      <c r="B2" s="1" t="s">
        <v>183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9.9</v>
      </c>
      <c r="B6" s="38">
        <f>SUM(Table1173538103106109118121124127130118145[[#Totals],[Total Cost (RM)]]+Table4183639104107110119122125128131119146[[#Totals],[Total Cost (RM)]]+Table114193740105108111120123126129132120147[[#Totals],[Total Cost (RM)]])</f>
        <v>4.6758458149779738</v>
      </c>
      <c r="C6" s="39">
        <f>A6-B6</f>
        <v>5.2241541850220266</v>
      </c>
      <c r="D6" s="40">
        <f>(C6/A6)*100</f>
        <v>52.769234192141681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/>
      <c r="B10" s="74"/>
      <c r="C10" s="74" t="str">
        <f>IF(A10&lt;&gt;"",VLOOKUP(Table114193740105108111120123126129132120147[[#This Row],[Name]], MixedIngredientTable[], 4, FALSE),"")</f>
        <v/>
      </c>
      <c r="D10" s="74" t="str">
        <f>IF(Table114193740105108111120123126129132120147[[#This Row],[Name]]&lt;&gt;"",Table114193740105108111120123126129132120147[[#This Row],[Quantity]]*Table114193740105108111120123126129132120147[[#This Row],[Cost Per Unit (RM)]],"")</f>
        <v/>
      </c>
    </row>
    <row r="11" spans="1:4">
      <c r="A11" s="75"/>
      <c r="B11" s="75"/>
      <c r="C11" s="74" t="str">
        <f>IF(A11&lt;&gt;"",VLOOKUP(Table114193740105108111120123126129132120147[[#This Row],[Name]], MixedIngredientTable[], 4, FALSE),"")</f>
        <v/>
      </c>
      <c r="D11" s="74" t="str">
        <f>IF(Table114193740105108111120123126129132120147[[#This Row],[Name]]&lt;&gt;"",Table114193740105108111120123126129132120147[[#This Row],[Quantity]]*Table114193740105108111120123126129132120147[[#This Row],[Cost Per Unit (RM)]],"")</f>
        <v/>
      </c>
    </row>
    <row r="12" spans="1:4">
      <c r="A12" s="75"/>
      <c r="B12" s="75"/>
      <c r="C12" s="75"/>
      <c r="D12" s="74">
        <f>SUM(Table114193740105108111120123126129132120147[Total Cost (RM)])</f>
        <v>0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116</v>
      </c>
      <c r="B16">
        <v>15</v>
      </c>
      <c r="C16">
        <f>IF(A16&lt;&gt;"",VLOOKUP(Table1173538103106109118121124127130118145[[#This Row],[Name]], IngredientTable[], 6, FALSE),"")</f>
        <v>3.3000000000000002E-2</v>
      </c>
      <c r="D16">
        <f>IF(Table1173538103106109118121124127130118145[[#This Row],[Name]]&lt;&gt;"",Table1173538103106109118121124127130118145[[#This Row],[Quantity]]*Table1173538103106109118121124127130118145[[#This Row],[Cost Per Unit (RM)]],"")</f>
        <v>0.495</v>
      </c>
    </row>
    <row r="17" spans="1:4">
      <c r="A17" t="s">
        <v>121</v>
      </c>
      <c r="B17">
        <v>60</v>
      </c>
      <c r="C17">
        <f>IF(A17&lt;&gt;"",VLOOKUP(Table1173538103106109118121124127130118145[[#This Row],[Name]], IngredientTable[], 6, FALSE),"")</f>
        <v>2.841409691629956E-2</v>
      </c>
      <c r="D17">
        <f>IF(Table1173538103106109118121124127130118145[[#This Row],[Name]]&lt;&gt;"",Table1173538103106109118121124127130118145[[#This Row],[Quantity]]*Table1173538103106109118121124127130118145[[#This Row],[Cost Per Unit (RM)]],"")</f>
        <v>1.7048458149779737</v>
      </c>
    </row>
    <row r="18" spans="1:4">
      <c r="A18" t="s">
        <v>105</v>
      </c>
      <c r="B18">
        <v>500</v>
      </c>
      <c r="C18">
        <f>IF(A18&lt;&gt;"",VLOOKUP(Table1173538103106109118121124127130118145[[#This Row],[Name]], IngredientTable[], 6, FALSE),"")</f>
        <v>4.4999999999999997E-3</v>
      </c>
      <c r="D18">
        <f>IF(Table1173538103106109118121124127130118145[[#This Row],[Name]]&lt;&gt;"",Table1173538103106109118121124127130118145[[#This Row],[Quantity]]*Table1173538103106109118121124127130118145[[#This Row],[Cost Per Unit (RM)]],"")</f>
        <v>2.25</v>
      </c>
    </row>
    <row r="19" spans="1:4">
      <c r="D19" s="13">
        <f>SUM(Table1173538103106109118121124127130118145[Total Cost (RM)])</f>
        <v>4.4498458149779738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156</v>
      </c>
      <c r="B22" s="18">
        <v>1</v>
      </c>
      <c r="C22" s="18">
        <f>IF(A22&lt;&gt;"",VLOOKUP(Table4183639104107110119122125128131119146[[#This Row],[Name]], PackagingTable[], 6, FALSE),"")</f>
        <v>0.19800000000000001</v>
      </c>
      <c r="D22" s="18">
        <f>IF(Table4183639104107110119122125128131119146[[#This Row],[Name]]&lt;&gt;"",Table4183639104107110119122125128131119146[[#This Row],[Quantity]]*Table4183639104107110119122125128131119146[[#This Row],[Cost Per Unit (RM)]],"")</f>
        <v>0.19800000000000001</v>
      </c>
    </row>
    <row r="23" spans="1:4">
      <c r="A23" s="17" t="s">
        <v>145</v>
      </c>
      <c r="B23" s="18">
        <v>1</v>
      </c>
      <c r="C23" s="18">
        <f>IF(A23&lt;&gt;"",VLOOKUP(Table4183639104107110119122125128131119146[[#This Row],[Name]], PackagingTable[], 6, FALSE),"")</f>
        <v>2.7999999999999997E-2</v>
      </c>
      <c r="D23" s="18">
        <f>IF(Table4183639104107110119122125128131119146[[#This Row],[Name]]&lt;&gt;"",Table4183639104107110119122125128131119146[[#This Row],[Quantity]]*Table4183639104107110119122125128131119146[[#This Row],[Cost Per Unit (RM)]],"")</f>
        <v>2.7999999999999997E-2</v>
      </c>
    </row>
    <row r="24" spans="1:4">
      <c r="A24" s="17"/>
      <c r="B24" s="18"/>
      <c r="C24" s="18" t="str">
        <f>IF(A24&lt;&gt;"",VLOOKUP(Table4183639104107110119122125128131119146[[#This Row],[Name]], PackagingTable[], 6, FALSE),"")</f>
        <v/>
      </c>
      <c r="D24" s="18" t="str">
        <f>IF(Table4183639104107110119122125128131119146[[#This Row],[Name]]&lt;&gt;"",Table4183639104107110119122125128131119146[[#This Row],[Quantity]]*Table4183639104107110119122125128131119146[[#This Row],[Cost Per Unit (RM)]],"")</f>
        <v/>
      </c>
    </row>
    <row r="25" spans="1:4">
      <c r="B25" s="13"/>
      <c r="C25" s="13"/>
      <c r="D25" s="13">
        <f>SUM(Table4183639104107110119122125128131119146[Total Cost (RM)])</f>
        <v>0.22600000000000001</v>
      </c>
    </row>
  </sheetData>
  <dataValidations count="3">
    <dataValidation type="list" allowBlank="1" showInputMessage="1" showErrorMessage="1" sqref="A22:A24" xr:uid="{B5159D3D-4319-4833-A4DB-4BBA58277550}">
      <formula1>INDIRECT("PackagingTable[Name]")</formula1>
    </dataValidation>
    <dataValidation type="list" allowBlank="1" showInputMessage="1" showErrorMessage="1" sqref="A16:A18" xr:uid="{C1B63002-6933-4247-80AB-B1DE3F408890}">
      <formula1>INDIRECT("IngredientTable[Name]")</formula1>
    </dataValidation>
    <dataValidation type="list" allowBlank="1" showInputMessage="1" showErrorMessage="1" sqref="A10:A11" xr:uid="{7E72ADE4-8F7B-4B8D-A5DB-0118D55F6423}">
      <formula1>INDIRECT("MixedIngredientTable[Name]")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42A0-74B6-4A25-97CC-A4A421FC0A73}">
  <sheetPr>
    <tabColor theme="6" tint="0.39997558519241921"/>
  </sheetPr>
  <dimension ref="A1:D25"/>
  <sheetViews>
    <sheetView workbookViewId="0">
      <selection activeCell="A7" sqref="A7"/>
    </sheetView>
  </sheetViews>
  <sheetFormatPr defaultColWidth="11" defaultRowHeight="15.75"/>
  <cols>
    <col min="1" max="1" width="26.5" bestFit="1" customWidth="1"/>
    <col min="2" max="2" width="25.125" bestFit="1" customWidth="1"/>
    <col min="3" max="3" width="21.5" bestFit="1" customWidth="1"/>
    <col min="4" max="4" width="18.875" bestFit="1" customWidth="1"/>
  </cols>
  <sheetData>
    <row r="1" spans="1:4">
      <c r="A1" s="1" t="s">
        <v>158</v>
      </c>
      <c r="B1" s="1" t="s">
        <v>184</v>
      </c>
    </row>
    <row r="2" spans="1:4">
      <c r="A2" s="1" t="s">
        <v>83</v>
      </c>
      <c r="B2" s="1" t="s">
        <v>185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9.9</v>
      </c>
      <c r="B6" s="38">
        <f>SUM(Table1173538103106109118121124127130118[[#Totals],[Total Cost (RM)]]+Table4183639104107110119122125128131119[[#Totals],[Total Cost (RM)]]+Table114193740105108111120123126129132120[[#Totals],[Total Cost (RM)]])</f>
        <v>3.4543333333333335</v>
      </c>
      <c r="C6" s="39">
        <f>A6-B6</f>
        <v>6.4456666666666669</v>
      </c>
      <c r="D6" s="40">
        <f>(C6/A6)*100</f>
        <v>65.107744107744097</v>
      </c>
    </row>
    <row r="7" spans="1:4">
      <c r="D7" s="41"/>
    </row>
    <row r="8" spans="1:4">
      <c r="A8" s="1" t="s">
        <v>98</v>
      </c>
    </row>
    <row r="9" spans="1:4">
      <c r="A9" s="77" t="s">
        <v>7</v>
      </c>
      <c r="B9" s="76" t="s">
        <v>86</v>
      </c>
      <c r="C9" s="74" t="s">
        <v>74</v>
      </c>
      <c r="D9" s="74" t="s">
        <v>10</v>
      </c>
    </row>
    <row r="10" spans="1:4">
      <c r="A10" s="75"/>
      <c r="B10" s="74"/>
      <c r="C10" s="74" t="str">
        <f>IF(A10&lt;&gt;"",VLOOKUP(Table114193740105108111120123126129132120[[#This Row],[Name]], MixedIngredientTable[], 4, FALSE),"")</f>
        <v/>
      </c>
      <c r="D10" s="74" t="str">
        <f>IF(Table114193740105108111120123126129132120[[#This Row],[Name]]&lt;&gt;"",Table114193740105108111120123126129132120[[#This Row],[Quantity]]*Table114193740105108111120123126129132120[[#This Row],[Cost Per Unit (RM)]],"")</f>
        <v/>
      </c>
    </row>
    <row r="11" spans="1:4">
      <c r="A11" s="75"/>
      <c r="B11" s="75"/>
      <c r="C11" s="74" t="str">
        <f>IF(A11&lt;&gt;"",VLOOKUP(Table114193740105108111120123126129132120[[#This Row],[Name]], MixedIngredientTable[], 4, FALSE),"")</f>
        <v/>
      </c>
      <c r="D11" s="74" t="str">
        <f>IF(Table114193740105108111120123126129132120[[#This Row],[Name]]&lt;&gt;"",Table114193740105108111120123126129132120[[#This Row],[Quantity]]*Table114193740105108111120123126129132120[[#This Row],[Cost Per Unit (RM)]],"")</f>
        <v/>
      </c>
    </row>
    <row r="12" spans="1:4">
      <c r="A12" s="75"/>
      <c r="B12" s="75"/>
      <c r="C12" s="75"/>
      <c r="D12" s="74">
        <f>SUM(Table114193740105108111120123126129132120[Total Cost (RM)])</f>
        <v>0</v>
      </c>
    </row>
    <row r="14" spans="1:4">
      <c r="A14" s="1" t="s">
        <v>85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t="s">
        <v>112</v>
      </c>
      <c r="B16">
        <v>15</v>
      </c>
      <c r="C16">
        <f>IF(A16&lt;&gt;"",VLOOKUP(Table1173538103106109118121124127130118[[#This Row],[Name]], IngredientTable[], 6, FALSE),"")</f>
        <v>3.3000000000000002E-2</v>
      </c>
      <c r="D16">
        <f>IF(Table1173538103106109118121124127130118[[#This Row],[Name]]&lt;&gt;"",Table1173538103106109118121124127130118[[#This Row],[Quantity]]*Table1173538103106109118121124127130118[[#This Row],[Cost Per Unit (RM)]],"")</f>
        <v>0.495</v>
      </c>
    </row>
    <row r="17" spans="1:4">
      <c r="A17" t="s">
        <v>131</v>
      </c>
      <c r="B17">
        <v>1</v>
      </c>
      <c r="C17">
        <f>IF(A17&lt;&gt;"",VLOOKUP(Table1173538103106109118121124127130118[[#This Row],[Name]], IngredientTable[], 6, FALSE),"")</f>
        <v>0.48333333333333334</v>
      </c>
      <c r="D17">
        <f>IF(Table1173538103106109118121124127130118[[#This Row],[Name]]&lt;&gt;"",Table1173538103106109118121124127130118[[#This Row],[Quantity]]*Table1173538103106109118121124127130118[[#This Row],[Cost Per Unit (RM)]],"")</f>
        <v>0.48333333333333334</v>
      </c>
    </row>
    <row r="18" spans="1:4">
      <c r="A18" t="s">
        <v>105</v>
      </c>
      <c r="B18">
        <v>500</v>
      </c>
      <c r="C18">
        <f>IF(A18&lt;&gt;"",VLOOKUP(Table1173538103106109118121124127130118[[#This Row],[Name]], IngredientTable[], 6, FALSE),"")</f>
        <v>4.4999999999999997E-3</v>
      </c>
      <c r="D18">
        <f>IF(Table1173538103106109118121124127130118[[#This Row],[Name]]&lt;&gt;"",Table1173538103106109118121124127130118[[#This Row],[Quantity]]*Table1173538103106109118121124127130118[[#This Row],[Cost Per Unit (RM)]],"")</f>
        <v>2.25</v>
      </c>
    </row>
    <row r="19" spans="1:4">
      <c r="D19" s="13">
        <f>SUM(Table1173538103106109118121124127130118[Total Cost (RM)])</f>
        <v>3.2283333333333335</v>
      </c>
    </row>
    <row r="20" spans="1:4">
      <c r="A20" s="1" t="s">
        <v>161</v>
      </c>
    </row>
    <row r="21" spans="1:4">
      <c r="A21" s="7" t="s">
        <v>7</v>
      </c>
      <c r="B21" s="5" t="s">
        <v>86</v>
      </c>
      <c r="C21" s="13" t="s">
        <v>74</v>
      </c>
      <c r="D21" s="13" t="s">
        <v>10</v>
      </c>
    </row>
    <row r="22" spans="1:4">
      <c r="A22" s="17" t="s">
        <v>156</v>
      </c>
      <c r="B22" s="18">
        <v>1</v>
      </c>
      <c r="C22" s="18">
        <f>IF(A22&lt;&gt;"",VLOOKUP(Table4183639104107110119122125128131119[[#This Row],[Name]], PackagingTable[], 6, FALSE),"")</f>
        <v>0.19800000000000001</v>
      </c>
      <c r="D22" s="18">
        <f>IF(Table4183639104107110119122125128131119[[#This Row],[Name]]&lt;&gt;"",Table4183639104107110119122125128131119[[#This Row],[Quantity]]*Table4183639104107110119122125128131119[[#This Row],[Cost Per Unit (RM)]],"")</f>
        <v>0.19800000000000001</v>
      </c>
    </row>
    <row r="23" spans="1:4">
      <c r="A23" s="17" t="s">
        <v>145</v>
      </c>
      <c r="B23" s="18">
        <v>1</v>
      </c>
      <c r="C23" s="18">
        <f>IF(A23&lt;&gt;"",VLOOKUP(Table4183639104107110119122125128131119[[#This Row],[Name]], PackagingTable[], 6, FALSE),"")</f>
        <v>2.7999999999999997E-2</v>
      </c>
      <c r="D23" s="18">
        <f>IF(Table4183639104107110119122125128131119[[#This Row],[Name]]&lt;&gt;"",Table4183639104107110119122125128131119[[#This Row],[Quantity]]*Table4183639104107110119122125128131119[[#This Row],[Cost Per Unit (RM)]],"")</f>
        <v>2.7999999999999997E-2</v>
      </c>
    </row>
    <row r="24" spans="1:4">
      <c r="A24" s="17"/>
      <c r="B24" s="18"/>
      <c r="C24" s="18" t="str">
        <f>IF(A24&lt;&gt;"",VLOOKUP(Table4183639104107110119122125128131119[[#This Row],[Name]], PackagingTable[], 6, FALSE),"")</f>
        <v/>
      </c>
      <c r="D24" s="18" t="str">
        <f>IF(Table4183639104107110119122125128131119[[#This Row],[Name]]&lt;&gt;"",Table4183639104107110119122125128131119[[#This Row],[Quantity]]*Table4183639104107110119122125128131119[[#This Row],[Cost Per Unit (RM)]],"")</f>
        <v/>
      </c>
    </row>
    <row r="25" spans="1:4">
      <c r="B25" s="13"/>
      <c r="C25" s="13"/>
      <c r="D25" s="13">
        <f>SUM(Table4183639104107110119122125128131119[Total Cost (RM)])</f>
        <v>0.22600000000000001</v>
      </c>
    </row>
  </sheetData>
  <dataValidations count="3">
    <dataValidation type="list" allowBlank="1" showInputMessage="1" showErrorMessage="1" sqref="A10:A11" xr:uid="{2FA7D66E-DD82-46BA-8B1A-167599DB7551}">
      <formula1>INDIRECT("MixedIngredientTable[Name]")</formula1>
    </dataValidation>
    <dataValidation type="list" allowBlank="1" showInputMessage="1" showErrorMessage="1" sqref="A16:A18" xr:uid="{1BB129FC-2B78-4377-A248-4F4EEACD3172}">
      <formula1>INDIRECT("IngredientTable[Name]")</formula1>
    </dataValidation>
    <dataValidation type="list" allowBlank="1" showInputMessage="1" showErrorMessage="1" sqref="A22:A24" xr:uid="{C5299A5C-2C5E-46BC-A837-2B536A233E4B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FEB6-D567-144B-8B0C-423FBF5B0EC2}">
  <sheetPr>
    <tabColor theme="8" tint="0.39997558519241921"/>
  </sheetPr>
  <dimension ref="A1:N26"/>
  <sheetViews>
    <sheetView workbookViewId="0">
      <selection activeCell="K7" sqref="K7"/>
    </sheetView>
  </sheetViews>
  <sheetFormatPr defaultColWidth="11" defaultRowHeight="16.5"/>
  <cols>
    <col min="1" max="1" width="19.75" bestFit="1" customWidth="1"/>
    <col min="2" max="2" width="20.5" bestFit="1" customWidth="1"/>
    <col min="3" max="3" width="21.5" bestFit="1" customWidth="1"/>
    <col min="4" max="4" width="18.875" bestFit="1" customWidth="1"/>
    <col min="6" max="6" width="15.25" bestFit="1" customWidth="1"/>
    <col min="7" max="7" width="13.25" bestFit="1" customWidth="1"/>
    <col min="8" max="8" width="13.75" bestFit="1" customWidth="1"/>
    <col min="9" max="9" width="14.375" bestFit="1" customWidth="1"/>
    <col min="11" max="11" width="15.625" customWidth="1"/>
  </cols>
  <sheetData>
    <row r="1" spans="1:14">
      <c r="A1" s="1" t="s">
        <v>158</v>
      </c>
      <c r="B1" s="1" t="s">
        <v>159</v>
      </c>
    </row>
    <row r="2" spans="1:14">
      <c r="A2" s="1" t="s">
        <v>83</v>
      </c>
      <c r="B2" s="8" t="s">
        <v>40</v>
      </c>
    </row>
    <row r="4" spans="1:14">
      <c r="A4" s="1" t="s">
        <v>84</v>
      </c>
      <c r="F4" s="8" t="s">
        <v>186</v>
      </c>
      <c r="G4" s="8" t="s">
        <v>187</v>
      </c>
      <c r="K4" s="8" t="s">
        <v>186</v>
      </c>
      <c r="L4" s="8" t="s">
        <v>188</v>
      </c>
    </row>
    <row r="5" spans="1:14">
      <c r="A5" s="3" t="s">
        <v>9</v>
      </c>
      <c r="B5" s="35" t="s">
        <v>10</v>
      </c>
      <c r="C5" s="36" t="s">
        <v>160</v>
      </c>
      <c r="D5" s="37" t="s">
        <v>12</v>
      </c>
      <c r="F5" s="3" t="s">
        <v>9</v>
      </c>
      <c r="G5" s="35" t="s">
        <v>10</v>
      </c>
      <c r="H5" s="36" t="s">
        <v>160</v>
      </c>
      <c r="I5" s="37" t="s">
        <v>12</v>
      </c>
      <c r="K5" s="3" t="s">
        <v>9</v>
      </c>
      <c r="L5" s="35" t="s">
        <v>10</v>
      </c>
      <c r="M5" s="36" t="s">
        <v>160</v>
      </c>
      <c r="N5" s="37" t="s">
        <v>12</v>
      </c>
    </row>
    <row r="6" spans="1:14">
      <c r="A6" s="2">
        <v>8.9</v>
      </c>
      <c r="B6" s="38">
        <f>SUM(Table117359454851545760636669[[#Totals],[Total Cost (RM)]]+Table4183612464952555861646770[[#Totals],[Total Cost (RM)]]+Table114193741475053565962656871[[#Totals],[Total Cost (RM)]])</f>
        <v>4.1261034482758623</v>
      </c>
      <c r="C6" s="39">
        <f>A6-B6</f>
        <v>4.7738965517241381</v>
      </c>
      <c r="D6" s="40">
        <f>(C6/A6)*100</f>
        <v>53.639287098024028</v>
      </c>
      <c r="F6" s="2">
        <v>9.9</v>
      </c>
      <c r="G6" s="38">
        <f>SUM(Table11735945485154576063666972[[#Totals],[Total Cost (RM)]]+Table418361246495255586164677073[[#Totals],[Total Cost (RM)]]+Table11419374147505356596265687174[[#Totals],[Total Cost (RM)]],I13,I17)</f>
        <v>3.0969523809523811</v>
      </c>
      <c r="H6" s="39">
        <f>F6-G6</f>
        <v>6.8030476190476197</v>
      </c>
      <c r="I6" s="40">
        <f>(H6/F6)*100</f>
        <v>68.717652717652726</v>
      </c>
      <c r="K6" s="2">
        <v>9.9</v>
      </c>
      <c r="L6" s="38">
        <f>SUM(Table11735945485154576063666972[[#Totals],[Total Cost (RM)]]+Table418361246495255586164677073[[#Totals],[Total Cost (RM)]]+Table11419374147505356596265687174[[#Totals],[Total Cost (RM)]],N13,N17)</f>
        <v>3.1958666666666669</v>
      </c>
      <c r="M6" s="39">
        <f>K6-L6</f>
        <v>6.7041333333333331</v>
      </c>
      <c r="N6" s="40">
        <f>(M6/K6)*100</f>
        <v>67.718518518518508</v>
      </c>
    </row>
    <row r="7" spans="1:14">
      <c r="D7" s="41"/>
    </row>
    <row r="8" spans="1:14">
      <c r="A8" s="1" t="s">
        <v>98</v>
      </c>
    </row>
    <row r="9" spans="1:14">
      <c r="A9" s="7" t="s">
        <v>7</v>
      </c>
      <c r="B9" s="5" t="s">
        <v>86</v>
      </c>
      <c r="C9" s="13" t="s">
        <v>74</v>
      </c>
      <c r="D9" s="13" t="s">
        <v>10</v>
      </c>
      <c r="F9" s="67" t="s">
        <v>85</v>
      </c>
      <c r="G9" s="67" t="s">
        <v>86</v>
      </c>
      <c r="H9" s="54" t="s">
        <v>189</v>
      </c>
      <c r="I9" s="53" t="s">
        <v>10</v>
      </c>
      <c r="K9" s="67" t="s">
        <v>85</v>
      </c>
      <c r="L9" s="67" t="s">
        <v>86</v>
      </c>
      <c r="M9" s="54" t="s">
        <v>189</v>
      </c>
      <c r="N9" s="53" t="s">
        <v>10</v>
      </c>
    </row>
    <row r="10" spans="1:14">
      <c r="B10" s="13"/>
      <c r="C10" s="13" t="str">
        <f>IF(A10&lt;&gt;"",VLOOKUP(Table114193741475053565962656871[[#This Row],[Name]], MixedIngredientTable[], 4, FALSE),"")</f>
        <v/>
      </c>
      <c r="D10" s="13" t="str">
        <f>IF(Table114193741475053565962656871[[#This Row],[Name]]&lt;&gt;"",Table114193741475053565962656871[[#This Row],[Quantity]]*Table114193741475053565962656871[[#This Row],[Cost Per Unit (RM)]],"")</f>
        <v/>
      </c>
      <c r="F10" s="81" t="s">
        <v>85</v>
      </c>
      <c r="G10" s="82"/>
      <c r="H10" s="82"/>
      <c r="I10" s="83"/>
      <c r="K10" s="81" t="s">
        <v>85</v>
      </c>
      <c r="L10" s="82"/>
      <c r="M10" s="82"/>
      <c r="N10" s="83"/>
    </row>
    <row r="11" spans="1:14">
      <c r="B11" s="13"/>
      <c r="C11" s="13" t="str">
        <f>IF(A11&lt;&gt;"",VLOOKUP(Table114193741475053565962656871[[#This Row],[Name]], MixedIngredientTable[], 4, FALSE),"")</f>
        <v/>
      </c>
      <c r="D11" s="13" t="str">
        <f>IF(Table114193741475053565962656871[[#This Row],[Name]]&lt;&gt;"",Table114193741475053565962656871[[#This Row],[Quantity]]*Table114193741475053565962656871[[#This Row],[Cost Per Unit (RM)]],"")</f>
        <v/>
      </c>
      <c r="F11" s="55" t="s">
        <v>71</v>
      </c>
      <c r="G11" s="56">
        <v>50</v>
      </c>
      <c r="H11" s="56">
        <f>IF(F11&lt;&gt;"",VLOOKUP(F11, IngredientTable[], 6, FALSE),"")</f>
        <v>1.1785714285714287E-2</v>
      </c>
      <c r="I11" s="56">
        <f>IF(F11&lt;&gt;"",G11*H11,"")</f>
        <v>0.5892857142857143</v>
      </c>
      <c r="K11" s="55" t="s">
        <v>72</v>
      </c>
      <c r="L11" s="56">
        <v>37</v>
      </c>
      <c r="M11" s="56">
        <f>IF(K11&lt;&gt;"",VLOOKUP(K11, IngredientTable[], 6, FALSE),"")</f>
        <v>1.8600000000000002E-2</v>
      </c>
      <c r="N11" s="56">
        <f>IF(K11&lt;&gt;"",L11*M11,"")</f>
        <v>0.68820000000000003</v>
      </c>
    </row>
    <row r="12" spans="1:14">
      <c r="D12" s="13">
        <f>SUM(Table114193741475053565962656871[Total Cost (RM)])</f>
        <v>0</v>
      </c>
      <c r="F12" s="57"/>
      <c r="G12" s="58"/>
      <c r="H12" s="58" t="str">
        <f>IF(F12&lt;&gt;"",VLOOKUP(F12, IngredientTable[], 6, FALSE),"")</f>
        <v/>
      </c>
      <c r="I12" s="58" t="str">
        <f>IF(F12&lt;&gt;"",G12*H12,"")</f>
        <v/>
      </c>
      <c r="K12" s="57"/>
      <c r="L12" s="58"/>
      <c r="M12" s="58" t="str">
        <f>IF(K12&lt;&gt;"",VLOOKUP(K12, IngredientTable[], 6, FALSE),"")</f>
        <v/>
      </c>
      <c r="N12" s="58" t="str">
        <f>IF(K12&lt;&gt;"",L12*M12,"")</f>
        <v/>
      </c>
    </row>
    <row r="13" spans="1:14">
      <c r="F13" s="59" t="s">
        <v>190</v>
      </c>
      <c r="G13" s="60"/>
      <c r="H13" s="60"/>
      <c r="I13" s="61">
        <f>SUM(I11:I12)</f>
        <v>0.5892857142857143</v>
      </c>
      <c r="K13" s="59" t="s">
        <v>190</v>
      </c>
      <c r="L13" s="60"/>
      <c r="M13" s="60"/>
      <c r="N13" s="61">
        <f>SUM(N11:N12)</f>
        <v>0.68820000000000003</v>
      </c>
    </row>
    <row r="14" spans="1:14">
      <c r="A14" s="1" t="s">
        <v>85</v>
      </c>
      <c r="F14" s="84" t="s">
        <v>98</v>
      </c>
      <c r="G14" s="85"/>
      <c r="H14" s="85"/>
      <c r="I14" s="86"/>
      <c r="K14" s="84" t="s">
        <v>98</v>
      </c>
      <c r="L14" s="85"/>
      <c r="M14" s="85"/>
      <c r="N14" s="86"/>
    </row>
    <row r="15" spans="1:14">
      <c r="A15" s="7" t="s">
        <v>7</v>
      </c>
      <c r="B15" s="5" t="s">
        <v>86</v>
      </c>
      <c r="C15" s="13" t="s">
        <v>74</v>
      </c>
      <c r="D15" s="13" t="s">
        <v>10</v>
      </c>
      <c r="F15" s="55"/>
      <c r="G15" s="62"/>
      <c r="H15" s="62" t="str">
        <f>IF(F15&lt;&gt;"",VLOOKUP(F15, MixedIngredientTable[], 4, FALSE),"")</f>
        <v/>
      </c>
      <c r="I15" s="62" t="str">
        <f>IF(F15&lt;&gt;"",G15*H15,"")</f>
        <v/>
      </c>
      <c r="K15" s="55"/>
      <c r="L15" s="62"/>
      <c r="M15" s="62" t="str">
        <f>IF(K15&lt;&gt;"",VLOOKUP(K15, MixedIngredientTable[], 4, FALSE),"")</f>
        <v/>
      </c>
      <c r="N15" s="62" t="str">
        <f>IF(K15&lt;&gt;"",L15*M15,"")</f>
        <v/>
      </c>
    </row>
    <row r="16" spans="1:14">
      <c r="A16" t="s">
        <v>40</v>
      </c>
      <c r="B16">
        <v>6</v>
      </c>
      <c r="C16">
        <f>IF(A16&lt;&gt;"",VLOOKUP(Table117359454851545760636669[[#This Row],[Name]], IngredientTable[], 6, FALSE),"")</f>
        <v>0.61551724137931041</v>
      </c>
      <c r="D16">
        <f>IF(Table117359454851545760636669[[#This Row],[Name]]&lt;&gt;"",Table117359454851545760636669[[#This Row],[Quantity]]*Table117359454851545760636669[[#This Row],[Cost Per Unit (RM)]],"")</f>
        <v>3.6931034482758625</v>
      </c>
      <c r="F16" s="63"/>
      <c r="G16" s="64"/>
      <c r="H16" s="64" t="str">
        <f>IF(F16&lt;&gt;"",VLOOKUP(F16, MixedIngredientTable[], 4, FALSE),"")</f>
        <v/>
      </c>
      <c r="I16" s="65" t="str">
        <f>IF(F16&lt;&gt;"",G16*H16,"")</f>
        <v/>
      </c>
      <c r="K16" s="63"/>
      <c r="L16" s="64"/>
      <c r="M16" s="64" t="str">
        <f>IF(K16&lt;&gt;"",VLOOKUP(K16, MixedIngredientTable[], 4, FALSE),"")</f>
        <v/>
      </c>
      <c r="N16" s="65" t="str">
        <f>IF(K16&lt;&gt;"",L16*M16,"")</f>
        <v/>
      </c>
    </row>
    <row r="17" spans="1:14">
      <c r="C17" t="str">
        <f>IF(A17&lt;&gt;"",VLOOKUP(Table117359454851545760636669[[#This Row],[Name]], IngredientTable[], 6, FALSE),"")</f>
        <v/>
      </c>
      <c r="D17" t="str">
        <f>IF(Table117359454851545760636669[[#This Row],[Name]]&lt;&gt;"",Table117359454851545760636669[[#This Row],[Quantity]]*Table117359454851545760636669[[#This Row],[Cost Per Unit (RM)]],"")</f>
        <v/>
      </c>
      <c r="F17" s="59" t="s">
        <v>190</v>
      </c>
      <c r="G17" s="60"/>
      <c r="H17" s="60"/>
      <c r="I17" s="66">
        <f>SUM(I15:I16)</f>
        <v>0</v>
      </c>
      <c r="K17" s="59" t="s">
        <v>190</v>
      </c>
      <c r="L17" s="60"/>
      <c r="M17" s="60"/>
      <c r="N17" s="66">
        <f>SUM(N15:N16)</f>
        <v>0</v>
      </c>
    </row>
    <row r="18" spans="1:14">
      <c r="C18" t="str">
        <f>IF(A18&lt;&gt;"",VLOOKUP(Table117359454851545760636669[[#This Row],[Name]], IngredientTable[], 6, FALSE),"")</f>
        <v/>
      </c>
      <c r="D18" t="str">
        <f>IF(Table117359454851545760636669[[#This Row],[Name]]&lt;&gt;"",Table117359454851545760636669[[#This Row],[Quantity]]*Table117359454851545760636669[[#This Row],[Cost Per Unit (RM)]],"")</f>
        <v/>
      </c>
    </row>
    <row r="19" spans="1:14">
      <c r="D19" s="13">
        <f>SUM(Table117359454851545760636669[Total Cost (RM)])</f>
        <v>3.6931034482758625</v>
      </c>
    </row>
    <row r="20" spans="1:14">
      <c r="C20" t="str">
        <f>IF(A20&lt;&gt;"",VLOOKUP(Table117359454851545760636669[[#This Row],[Name]], IngredientTable[], 6, FALSE),"")</f>
        <v/>
      </c>
    </row>
    <row r="21" spans="1:14">
      <c r="A21" s="1" t="s">
        <v>161</v>
      </c>
    </row>
    <row r="22" spans="1:14">
      <c r="A22" s="7" t="s">
        <v>7</v>
      </c>
      <c r="B22" s="5" t="s">
        <v>86</v>
      </c>
      <c r="C22" s="13" t="s">
        <v>74</v>
      </c>
      <c r="D22" s="13" t="s">
        <v>10</v>
      </c>
    </row>
    <row r="23" spans="1:14">
      <c r="A23" s="17" t="s">
        <v>149</v>
      </c>
      <c r="B23" s="18">
        <v>1</v>
      </c>
      <c r="C23" s="18">
        <f>IF(A23&lt;&gt;"",VLOOKUP(Table4183612464952555861646770[[#This Row],[Name]], PackagingTable[], 6, FALSE),"")</f>
        <v>0.19800000000000001</v>
      </c>
      <c r="D23" s="18">
        <f>IF(Table4183612464952555861646770[[#This Row],[Name]]&lt;&gt;"",Table4183612464952555861646770[[#This Row],[Quantity]]*Table4183612464952555861646770[[#This Row],[Cost Per Unit (RM)]],"")</f>
        <v>0.19800000000000001</v>
      </c>
    </row>
    <row r="24" spans="1:14">
      <c r="A24" s="17" t="s">
        <v>150</v>
      </c>
      <c r="B24" s="18">
        <v>1</v>
      </c>
      <c r="C24" s="18">
        <f>IF(A24&lt;&gt;"",VLOOKUP(Table4183612464952555861646770[[#This Row],[Name]], PackagingTable[], 6, FALSE),"")</f>
        <v>0.11</v>
      </c>
      <c r="D24" s="18">
        <f>IF(Table4183612464952555861646770[[#This Row],[Name]]&lt;&gt;"",Table4183612464952555861646770[[#This Row],[Quantity]]*Table4183612464952555861646770[[#This Row],[Cost Per Unit (RM)]],"")</f>
        <v>0.11</v>
      </c>
    </row>
    <row r="25" spans="1:14">
      <c r="A25" s="17" t="s">
        <v>153</v>
      </c>
      <c r="B25" s="18">
        <v>1</v>
      </c>
      <c r="C25" s="18">
        <f>IF(A25&lt;&gt;"",VLOOKUP(Table4183612464952555861646770[[#This Row],[Name]], PackagingTable[], 6, FALSE),"")</f>
        <v>0.125</v>
      </c>
      <c r="D25" s="18">
        <f>IF(Table4183612464952555861646770[[#This Row],[Name]]&lt;&gt;"",Table4183612464952555861646770[[#This Row],[Quantity]]*Table4183612464952555861646770[[#This Row],[Cost Per Unit (RM)]],"")</f>
        <v>0.125</v>
      </c>
    </row>
    <row r="26" spans="1:14">
      <c r="B26" s="13"/>
      <c r="C26" s="13"/>
      <c r="D26" s="13">
        <f>SUM(Table4183612464952555861646770[Total Cost (RM)])</f>
        <v>0.433</v>
      </c>
    </row>
  </sheetData>
  <mergeCells count="4">
    <mergeCell ref="F10:I10"/>
    <mergeCell ref="F14:I14"/>
    <mergeCell ref="K10:N10"/>
    <mergeCell ref="K14:N14"/>
  </mergeCells>
  <dataValidations count="4">
    <dataValidation type="list" allowBlank="1" showInputMessage="1" showErrorMessage="1" sqref="A10:A11 F15:F16 K15:K16" xr:uid="{24133C25-A6C7-C34D-9D4B-102B32FC1D69}">
      <formula1>INDIRECT("MixedIngredientTable[Name]")</formula1>
    </dataValidation>
    <dataValidation type="list" allowBlank="1" showInputMessage="1" showErrorMessage="1" sqref="A23:A25" xr:uid="{C1B9FBDE-6E3B-5445-8346-7F3B516E6DDE}">
      <formula1>INDIRECT("PackagingTable[Name]")</formula1>
    </dataValidation>
    <dataValidation type="list" allowBlank="1" showInputMessage="1" showErrorMessage="1" sqref="A16:A18 A20 F11:F12 K11:K12" xr:uid="{32790988-92BC-6740-9569-3B9C7BE84A62}">
      <formula1>INDIRECT("IngredientTable[Name]")</formula1>
    </dataValidation>
    <dataValidation allowBlank="1" showInputMessage="1" showErrorMessage="1" sqref="F13 I13 F17 I17 K13 N13 K17 N17" xr:uid="{CDB5C52E-7C58-4E9F-BF81-D193690BA892}"/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D3C4-98AC-934B-9A23-7779690EF9EB}">
  <sheetPr>
    <tabColor theme="8" tint="0.39997558519241921"/>
  </sheetPr>
  <dimension ref="A1:N27"/>
  <sheetViews>
    <sheetView workbookViewId="0">
      <selection activeCell="B19" sqref="B19"/>
    </sheetView>
  </sheetViews>
  <sheetFormatPr defaultColWidth="11" defaultRowHeight="16.5"/>
  <cols>
    <col min="1" max="1" width="19.75" bestFit="1" customWidth="1"/>
    <col min="2" max="2" width="20.5" bestFit="1" customWidth="1"/>
    <col min="3" max="3" width="21.5" bestFit="1" customWidth="1"/>
    <col min="4" max="4" width="18.875" bestFit="1" customWidth="1"/>
    <col min="6" max="6" width="16.375" bestFit="1" customWidth="1"/>
    <col min="7" max="7" width="13.25" bestFit="1" customWidth="1"/>
    <col min="8" max="8" width="13.75" bestFit="1" customWidth="1"/>
    <col min="9" max="9" width="14.375" bestFit="1" customWidth="1"/>
    <col min="11" max="11" width="14.875" customWidth="1"/>
    <col min="12" max="12" width="13.5" customWidth="1"/>
  </cols>
  <sheetData>
    <row r="1" spans="1:14">
      <c r="A1" s="1" t="s">
        <v>158</v>
      </c>
      <c r="B1" s="1" t="s">
        <v>191</v>
      </c>
    </row>
    <row r="2" spans="1:14">
      <c r="A2" s="1" t="s">
        <v>83</v>
      </c>
      <c r="B2" s="8" t="s">
        <v>44</v>
      </c>
    </row>
    <row r="4" spans="1:14">
      <c r="A4" s="1" t="s">
        <v>84</v>
      </c>
      <c r="F4" s="8" t="s">
        <v>186</v>
      </c>
      <c r="G4" s="8" t="s">
        <v>187</v>
      </c>
      <c r="K4" s="8" t="s">
        <v>186</v>
      </c>
      <c r="L4" s="8" t="s">
        <v>188</v>
      </c>
    </row>
    <row r="5" spans="1:14">
      <c r="A5" s="3" t="s">
        <v>9</v>
      </c>
      <c r="B5" s="35" t="s">
        <v>10</v>
      </c>
      <c r="C5" s="36" t="s">
        <v>160</v>
      </c>
      <c r="D5" s="37" t="s">
        <v>12</v>
      </c>
      <c r="F5" s="3" t="s">
        <v>9</v>
      </c>
      <c r="G5" s="35" t="s">
        <v>10</v>
      </c>
      <c r="H5" s="36" t="s">
        <v>160</v>
      </c>
      <c r="I5" s="37" t="s">
        <v>12</v>
      </c>
      <c r="K5" s="3" t="s">
        <v>9</v>
      </c>
      <c r="L5" s="35" t="s">
        <v>10</v>
      </c>
      <c r="M5" s="36" t="s">
        <v>160</v>
      </c>
      <c r="N5" s="37" t="s">
        <v>12</v>
      </c>
    </row>
    <row r="6" spans="1:14">
      <c r="A6" s="2">
        <v>8.9</v>
      </c>
      <c r="B6" s="38">
        <f>SUM(Table11735945485154576063666972[[#Totals],[Total Cost (RM)]]+Table418361246495255586164677073[[#Totals],[Total Cost (RM)]]+Table11419374147505356596265687174[[#Totals],[Total Cost (RM)]])</f>
        <v>2.5076666666666667</v>
      </c>
      <c r="C6" s="39">
        <f>A6-B6</f>
        <v>6.3923333333333332</v>
      </c>
      <c r="D6" s="40">
        <f>(C6/A6)*100</f>
        <v>71.823970037453179</v>
      </c>
      <c r="F6" s="2">
        <v>9.9</v>
      </c>
      <c r="G6" s="38">
        <f>SUM(Table11735945485154576063666972[[#Totals],[Total Cost (RM)]]+Table418361246495255586164677073[[#Totals],[Total Cost (RM)]]+Table11419374147505356596265687174[[#Totals],[Total Cost (RM)]],I13,I17)</f>
        <v>3.0969523809523811</v>
      </c>
      <c r="H6" s="39">
        <f>F6-G6</f>
        <v>6.8030476190476197</v>
      </c>
      <c r="I6" s="40">
        <f>(H6/F6)*100</f>
        <v>68.717652717652726</v>
      </c>
      <c r="K6" s="2">
        <v>9.9</v>
      </c>
      <c r="L6" s="38">
        <f>SUM(Table11735945485154576063666972[[#Totals],[Total Cost (RM)]]+Table418361246495255586164677073[[#Totals],[Total Cost (RM)]]+Table11419374147505356596265687174[[#Totals],[Total Cost (RM)]],N13,N17)</f>
        <v>3.1958666666666669</v>
      </c>
      <c r="M6" s="39">
        <f>K6-L6</f>
        <v>6.7041333333333331</v>
      </c>
      <c r="N6" s="40">
        <f>(M6/K6)*100</f>
        <v>67.718518518518508</v>
      </c>
    </row>
    <row r="7" spans="1:14">
      <c r="D7" s="41"/>
    </row>
    <row r="8" spans="1:14">
      <c r="D8" s="41"/>
    </row>
    <row r="9" spans="1:14">
      <c r="A9" s="1" t="s">
        <v>98</v>
      </c>
      <c r="F9" s="67" t="s">
        <v>85</v>
      </c>
      <c r="G9" s="67" t="s">
        <v>86</v>
      </c>
      <c r="H9" s="54" t="s">
        <v>189</v>
      </c>
      <c r="I9" s="53" t="s">
        <v>10</v>
      </c>
      <c r="K9" s="67" t="s">
        <v>85</v>
      </c>
      <c r="L9" s="67" t="s">
        <v>86</v>
      </c>
      <c r="M9" s="54" t="s">
        <v>189</v>
      </c>
      <c r="N9" s="53" t="s">
        <v>10</v>
      </c>
    </row>
    <row r="10" spans="1:14">
      <c r="A10" s="7" t="s">
        <v>7</v>
      </c>
      <c r="B10" s="5" t="s">
        <v>86</v>
      </c>
      <c r="C10" s="13" t="s">
        <v>74</v>
      </c>
      <c r="D10" s="13" t="s">
        <v>10</v>
      </c>
      <c r="F10" s="81" t="s">
        <v>85</v>
      </c>
      <c r="G10" s="82"/>
      <c r="H10" s="82"/>
      <c r="I10" s="83"/>
      <c r="K10" s="81" t="s">
        <v>85</v>
      </c>
      <c r="L10" s="82"/>
      <c r="M10" s="82"/>
      <c r="N10" s="83"/>
    </row>
    <row r="11" spans="1:14">
      <c r="B11" s="51"/>
      <c r="C11" s="52"/>
      <c r="D11" s="52"/>
      <c r="F11" s="55" t="s">
        <v>71</v>
      </c>
      <c r="G11" s="56">
        <v>50</v>
      </c>
      <c r="H11" s="56">
        <f>IF(F11&lt;&gt;"",VLOOKUP(F11, IngredientTable[], 6, FALSE),"")</f>
        <v>1.1785714285714287E-2</v>
      </c>
      <c r="I11" s="56">
        <f>IF(F11&lt;&gt;"",G11*H11,"")</f>
        <v>0.5892857142857143</v>
      </c>
      <c r="K11" s="55" t="s">
        <v>72</v>
      </c>
      <c r="L11" s="56">
        <v>37</v>
      </c>
      <c r="M11" s="56">
        <f>IF(K11&lt;&gt;"",VLOOKUP(K11, IngredientTable[], 6, FALSE),"")</f>
        <v>1.8600000000000002E-2</v>
      </c>
      <c r="N11" s="56">
        <f>IF(K11&lt;&gt;"",L11*M11,"")</f>
        <v>0.68820000000000003</v>
      </c>
    </row>
    <row r="12" spans="1:14">
      <c r="B12" s="51"/>
      <c r="C12" s="52"/>
      <c r="D12" s="52"/>
      <c r="F12" s="57"/>
      <c r="G12" s="58"/>
      <c r="H12" s="58" t="str">
        <f>IF(F12&lt;&gt;"",VLOOKUP(F12, IngredientTable[], 6, FALSE),"")</f>
        <v/>
      </c>
      <c r="I12" s="58" t="str">
        <f>IF(F12&lt;&gt;"",G12*H12,"")</f>
        <v/>
      </c>
      <c r="K12" s="57"/>
      <c r="L12" s="58"/>
      <c r="M12" s="58" t="str">
        <f>IF(K12&lt;&gt;"",VLOOKUP(K12, IngredientTable[], 6, FALSE),"")</f>
        <v/>
      </c>
      <c r="N12" s="58" t="str">
        <f>IF(K12&lt;&gt;"",L12*M12,"")</f>
        <v/>
      </c>
    </row>
    <row r="13" spans="1:14">
      <c r="B13" s="51"/>
      <c r="C13" s="52"/>
      <c r="D13" s="52"/>
      <c r="F13" s="59" t="s">
        <v>190</v>
      </c>
      <c r="G13" s="60"/>
      <c r="H13" s="60"/>
      <c r="I13" s="61">
        <f>SUM(I11:I12)</f>
        <v>0.5892857142857143</v>
      </c>
      <c r="K13" s="59" t="s">
        <v>190</v>
      </c>
      <c r="L13" s="60"/>
      <c r="M13" s="60"/>
      <c r="N13" s="61">
        <f>SUM(N11:N12)</f>
        <v>0.68820000000000003</v>
      </c>
    </row>
    <row r="14" spans="1:14">
      <c r="D14" s="13">
        <f>SUM(Table11419374147505356596265687174[Total Cost (RM)])</f>
        <v>0</v>
      </c>
      <c r="F14" s="84" t="s">
        <v>98</v>
      </c>
      <c r="G14" s="85"/>
      <c r="H14" s="85"/>
      <c r="I14" s="86"/>
      <c r="K14" s="84" t="s">
        <v>98</v>
      </c>
      <c r="L14" s="85"/>
      <c r="M14" s="85"/>
      <c r="N14" s="86"/>
    </row>
    <row r="15" spans="1:14">
      <c r="F15" s="55"/>
      <c r="G15" s="62"/>
      <c r="H15" s="62" t="str">
        <f>IF(F15&lt;&gt;"",VLOOKUP(F15, MixedIngredientTable[], 4, FALSE),"")</f>
        <v/>
      </c>
      <c r="I15" s="62" t="str">
        <f>IF(F15&lt;&gt;"",G15*H15,"")</f>
        <v/>
      </c>
      <c r="K15" s="55"/>
      <c r="L15" s="62"/>
      <c r="M15" s="62" t="str">
        <f>IF(K15&lt;&gt;"",VLOOKUP(K15, MixedIngredientTable[], 4, FALSE),"")</f>
        <v/>
      </c>
      <c r="N15" s="62" t="str">
        <f>IF(K15&lt;&gt;"",L15*M15,"")</f>
        <v/>
      </c>
    </row>
    <row r="16" spans="1:14">
      <c r="A16" s="1" t="s">
        <v>85</v>
      </c>
      <c r="F16" s="63"/>
      <c r="G16" s="64"/>
      <c r="H16" s="64" t="str">
        <f>IF(F16&lt;&gt;"",VLOOKUP(F16, MixedIngredientTable[], 4, FALSE),"")</f>
        <v/>
      </c>
      <c r="I16" s="65" t="str">
        <f>IF(F16&lt;&gt;"",G16*H16,"")</f>
        <v/>
      </c>
      <c r="K16" s="63"/>
      <c r="L16" s="64"/>
      <c r="M16" s="64" t="str">
        <f>IF(K16&lt;&gt;"",VLOOKUP(K16, MixedIngredientTable[], 4, FALSE),"")</f>
        <v/>
      </c>
      <c r="N16" s="65" t="str">
        <f>IF(K16&lt;&gt;"",L16*M16,"")</f>
        <v/>
      </c>
    </row>
    <row r="17" spans="1:14">
      <c r="A17" s="7" t="s">
        <v>7</v>
      </c>
      <c r="B17" s="5" t="s">
        <v>86</v>
      </c>
      <c r="C17" s="13" t="s">
        <v>74</v>
      </c>
      <c r="D17" s="13" t="s">
        <v>10</v>
      </c>
      <c r="F17" s="59" t="s">
        <v>190</v>
      </c>
      <c r="G17" s="60"/>
      <c r="H17" s="60"/>
      <c r="I17" s="66">
        <f>SUM(I15:I16)</f>
        <v>0</v>
      </c>
      <c r="K17" s="59" t="s">
        <v>190</v>
      </c>
      <c r="L17" s="60"/>
      <c r="M17" s="60"/>
      <c r="N17" s="66">
        <f>SUM(N15:N16)</f>
        <v>0</v>
      </c>
    </row>
    <row r="18" spans="1:14">
      <c r="A18" t="s">
        <v>44</v>
      </c>
      <c r="B18">
        <v>200</v>
      </c>
      <c r="C18">
        <f>IF(A18&lt;&gt;"",VLOOKUP(Table11735945485154576063666972[[#This Row],[Name]], IngredientTable[], 6, FALSE),"")</f>
        <v>1.0373333333333333E-2</v>
      </c>
      <c r="D18">
        <f>IF(Table11735945485154576063666972[[#This Row],[Name]]&lt;&gt;"",Table11735945485154576063666972[[#This Row],[Quantity]]*Table11735945485154576063666972[[#This Row],[Cost Per Unit (RM)]],"")</f>
        <v>2.0746666666666669</v>
      </c>
    </row>
    <row r="19" spans="1:14">
      <c r="C19" t="str">
        <f>IF(A19&lt;&gt;"",VLOOKUP(Table11735945485154576063666972[[#This Row],[Name]], IngredientTable[], 6, FALSE),"")</f>
        <v/>
      </c>
      <c r="D19" t="str">
        <f>IF(Table11735945485154576063666972[[#This Row],[Name]]&lt;&gt;"",Table11735945485154576063666972[[#This Row],[Quantity]]*Table11735945485154576063666972[[#This Row],[Cost Per Unit (RM)]],"")</f>
        <v/>
      </c>
    </row>
    <row r="20" spans="1:14">
      <c r="C20" t="str">
        <f>IF(A20&lt;&gt;"",VLOOKUP(Table11735945485154576063666972[[#This Row],[Name]], IngredientTable[], 6, FALSE),"")</f>
        <v/>
      </c>
      <c r="D20" t="str">
        <f>IF(Table11735945485154576063666972[[#This Row],[Name]]&lt;&gt;"",Table11735945485154576063666972[[#This Row],[Quantity]]*Table11735945485154576063666972[[#This Row],[Cost Per Unit (RM)]],"")</f>
        <v/>
      </c>
    </row>
    <row r="21" spans="1:14">
      <c r="D21" s="13">
        <f>SUM(Table11735945485154576063666972[Total Cost (RM)])</f>
        <v>2.0746666666666669</v>
      </c>
    </row>
    <row r="22" spans="1:14">
      <c r="A22" s="1" t="s">
        <v>161</v>
      </c>
    </row>
    <row r="23" spans="1:14">
      <c r="A23" s="7" t="s">
        <v>7</v>
      </c>
      <c r="B23" s="5" t="s">
        <v>86</v>
      </c>
      <c r="C23" s="13" t="s">
        <v>74</v>
      </c>
      <c r="D23" s="13" t="s">
        <v>10</v>
      </c>
    </row>
    <row r="24" spans="1:14">
      <c r="A24" s="17" t="s">
        <v>149</v>
      </c>
      <c r="B24" s="18">
        <v>1</v>
      </c>
      <c r="C24" s="18">
        <f>IF(A24&lt;&gt;"",VLOOKUP(Table418361246495255586164677073[[#This Row],[Name]], PackagingTable[], 6, FALSE),"")</f>
        <v>0.19800000000000001</v>
      </c>
      <c r="D24" s="18">
        <f>IF(Table418361246495255586164677073[[#This Row],[Name]]&lt;&gt;"",Table418361246495255586164677073[[#This Row],[Quantity]]*Table418361246495255586164677073[[#This Row],[Cost Per Unit (RM)]],"")</f>
        <v>0.19800000000000001</v>
      </c>
    </row>
    <row r="25" spans="1:14">
      <c r="A25" s="17" t="s">
        <v>150</v>
      </c>
      <c r="B25" s="18">
        <v>1</v>
      </c>
      <c r="C25" s="18">
        <f>IF(A25&lt;&gt;"",VLOOKUP(Table418361246495255586164677073[[#This Row],[Name]], PackagingTable[], 6, FALSE),"")</f>
        <v>0.11</v>
      </c>
      <c r="D25" s="18">
        <f>IF(Table418361246495255586164677073[[#This Row],[Name]]&lt;&gt;"",Table418361246495255586164677073[[#This Row],[Quantity]]*Table418361246495255586164677073[[#This Row],[Cost Per Unit (RM)]],"")</f>
        <v>0.11</v>
      </c>
    </row>
    <row r="26" spans="1:14">
      <c r="A26" s="17" t="s">
        <v>153</v>
      </c>
      <c r="B26" s="18">
        <v>1</v>
      </c>
      <c r="C26" s="18">
        <f>IF(A26&lt;&gt;"",VLOOKUP(Table418361246495255586164677073[[#This Row],[Name]], PackagingTable[], 6, FALSE),"")</f>
        <v>0.125</v>
      </c>
      <c r="D26" s="18">
        <f>IF(Table418361246495255586164677073[[#This Row],[Name]]&lt;&gt;"",Table418361246495255586164677073[[#This Row],[Quantity]]*Table418361246495255586164677073[[#This Row],[Cost Per Unit (RM)]],"")</f>
        <v>0.125</v>
      </c>
    </row>
    <row r="27" spans="1:14">
      <c r="B27" s="13"/>
      <c r="C27" s="13"/>
      <c r="D27" s="13">
        <f>SUM(Table418361246495255586164677073[Total Cost (RM)])</f>
        <v>0.433</v>
      </c>
    </row>
  </sheetData>
  <mergeCells count="4">
    <mergeCell ref="F14:I14"/>
    <mergeCell ref="K10:N10"/>
    <mergeCell ref="K14:N14"/>
    <mergeCell ref="F10:I10"/>
  </mergeCells>
  <dataValidations count="4">
    <dataValidation type="list" allowBlank="1" showInputMessage="1" showErrorMessage="1" sqref="A24:A26" xr:uid="{4557EABF-7A04-C840-9962-5B46D91A7AF8}">
      <formula1>INDIRECT("PackagingTable[Name]")</formula1>
    </dataValidation>
    <dataValidation type="list" allowBlank="1" showInputMessage="1" showErrorMessage="1" sqref="F15:F16 K15:K16" xr:uid="{AC7461F3-92A6-C041-9230-8CF62E0B36F6}">
      <formula1>INDIRECT("MixedIngredientTable[Name]")</formula1>
    </dataValidation>
    <dataValidation type="list" allowBlank="1" showInputMessage="1" showErrorMessage="1" sqref="A18:A20 F11:F12 K11:K12" xr:uid="{E0EF2A60-724A-8B4D-8FF1-9F63FC32400D}">
      <formula1>INDIRECT("IngredientTable[Name]")</formula1>
    </dataValidation>
    <dataValidation allowBlank="1" showInputMessage="1" showErrorMessage="1" sqref="F13 I13 F17 I17 K13 N13 K17 N17" xr:uid="{D32116B9-A195-43D2-99A6-27032FAED6FD}"/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0E5F-FDA3-4A5F-9640-51A8E8BFE1BF}">
  <sheetPr>
    <tabColor theme="8" tint="0.39997558519241921"/>
  </sheetPr>
  <dimension ref="A1:N27"/>
  <sheetViews>
    <sheetView topLeftCell="K11" workbookViewId="0">
      <selection activeCell="L12" sqref="L12"/>
    </sheetView>
  </sheetViews>
  <sheetFormatPr defaultColWidth="11" defaultRowHeight="15.75"/>
  <cols>
    <col min="1" max="1" width="22.125" bestFit="1" customWidth="1"/>
    <col min="2" max="2" width="20.5" bestFit="1" customWidth="1"/>
    <col min="3" max="3" width="21.5" bestFit="1" customWidth="1"/>
    <col min="4" max="4" width="18.875" bestFit="1" customWidth="1"/>
    <col min="5" max="5" width="9"/>
    <col min="6" max="6" width="16.375" bestFit="1" customWidth="1"/>
    <col min="7" max="7" width="13.25" bestFit="1" customWidth="1"/>
    <col min="8" max="8" width="13.75" bestFit="1" customWidth="1"/>
    <col min="9" max="9" width="14.375" bestFit="1" customWidth="1"/>
    <col min="10" max="10" width="9"/>
    <col min="11" max="11" width="14.875" customWidth="1"/>
    <col min="12" max="12" width="13.5" customWidth="1"/>
  </cols>
  <sheetData>
    <row r="1" spans="1:14" ht="16.5">
      <c r="A1" s="1" t="s">
        <v>158</v>
      </c>
      <c r="B1" s="1" t="s">
        <v>192</v>
      </c>
    </row>
    <row r="2" spans="1:14" ht="16.5">
      <c r="A2" s="1" t="s">
        <v>83</v>
      </c>
      <c r="B2" s="8" t="s">
        <v>45</v>
      </c>
    </row>
    <row r="4" spans="1:14" ht="16.5">
      <c r="A4" s="1" t="s">
        <v>84</v>
      </c>
      <c r="F4" s="8" t="s">
        <v>186</v>
      </c>
      <c r="G4" s="8" t="s">
        <v>187</v>
      </c>
      <c r="K4" s="8" t="s">
        <v>186</v>
      </c>
      <c r="L4" s="8" t="s">
        <v>188</v>
      </c>
    </row>
    <row r="5" spans="1:14" ht="16.5">
      <c r="A5" s="3" t="s">
        <v>9</v>
      </c>
      <c r="B5" s="35" t="s">
        <v>10</v>
      </c>
      <c r="C5" s="36" t="s">
        <v>160</v>
      </c>
      <c r="D5" s="37" t="s">
        <v>12</v>
      </c>
      <c r="F5" s="3" t="s">
        <v>9</v>
      </c>
      <c r="G5" s="35" t="s">
        <v>10</v>
      </c>
      <c r="H5" s="36" t="s">
        <v>160</v>
      </c>
      <c r="I5" s="37" t="s">
        <v>12</v>
      </c>
      <c r="K5" s="3" t="s">
        <v>9</v>
      </c>
      <c r="L5" s="35" t="s">
        <v>10</v>
      </c>
      <c r="M5" s="36" t="s">
        <v>160</v>
      </c>
      <c r="N5" s="37" t="s">
        <v>12</v>
      </c>
    </row>
    <row r="6" spans="1:14" ht="16.5">
      <c r="A6" s="2">
        <v>8.9</v>
      </c>
      <c r="B6" s="38">
        <f>SUM(Table1173594548515457606366697291[[#Totals],[Total Cost (RM)]]+Table41836124649525558616467707393[[#Totals],[Total Cost (RM)]]+Table1141937414750535659626568717494[[#Totals],[Total Cost (RM)]])</f>
        <v>3.856913043478261</v>
      </c>
      <c r="C6" s="39">
        <f>A6-B6</f>
        <v>5.0430869565217389</v>
      </c>
      <c r="D6" s="40">
        <f>(C6/A6)*100</f>
        <v>56.6638983878847</v>
      </c>
      <c r="F6" s="2">
        <v>9.9</v>
      </c>
      <c r="G6" s="38">
        <f>SUM(Table1173594548515457606366697291[[#Totals],[Total Cost (RM)]]+Table41836124649525558616467707393[[#Totals],[Total Cost (RM)]]+Table1141937414750535659626568717494[[#Totals],[Total Cost (RM)]],I13,I17)</f>
        <v>4.446198757763975</v>
      </c>
      <c r="H6" s="39">
        <f>F6-G6</f>
        <v>5.4538012422360254</v>
      </c>
      <c r="I6" s="40">
        <f>(H6/F6)*100</f>
        <v>55.088901436727525</v>
      </c>
      <c r="K6" s="2">
        <v>9.9</v>
      </c>
      <c r="L6" s="38">
        <f>SUM(Table1173594548515457606366697291[[#Totals],[Total Cost (RM)]]+Table41836124649525558616467707393[[#Totals],[Total Cost (RM)]]+Table1141937414750535659626568717494[[#Totals],[Total Cost (RM)]],N13,N17)</f>
        <v>4.5451130434782607</v>
      </c>
      <c r="M6" s="39">
        <f>K6-L6</f>
        <v>5.3548869565217396</v>
      </c>
      <c r="N6" s="40">
        <f>(M6/K6)*100</f>
        <v>54.089767237593321</v>
      </c>
    </row>
    <row r="7" spans="1:14" ht="16.5">
      <c r="D7" s="41"/>
    </row>
    <row r="8" spans="1:14" ht="16.5">
      <c r="D8" s="41"/>
    </row>
    <row r="9" spans="1:14" ht="16.5">
      <c r="A9" s="1" t="s">
        <v>98</v>
      </c>
      <c r="F9" s="67" t="s">
        <v>85</v>
      </c>
      <c r="G9" s="67" t="s">
        <v>86</v>
      </c>
      <c r="H9" s="54" t="s">
        <v>189</v>
      </c>
      <c r="I9" s="53" t="s">
        <v>10</v>
      </c>
      <c r="K9" s="67" t="s">
        <v>85</v>
      </c>
      <c r="L9" s="67" t="s">
        <v>86</v>
      </c>
      <c r="M9" s="54" t="s">
        <v>189</v>
      </c>
      <c r="N9" s="53" t="s">
        <v>10</v>
      </c>
    </row>
    <row r="10" spans="1:14" ht="16.5">
      <c r="A10" s="7" t="s">
        <v>7</v>
      </c>
      <c r="B10" s="5" t="s">
        <v>86</v>
      </c>
      <c r="C10" s="13" t="s">
        <v>74</v>
      </c>
      <c r="D10" s="13" t="s">
        <v>10</v>
      </c>
      <c r="F10" s="81" t="s">
        <v>85</v>
      </c>
      <c r="G10" s="82"/>
      <c r="H10" s="82"/>
      <c r="I10" s="83"/>
      <c r="K10" s="81" t="s">
        <v>85</v>
      </c>
      <c r="L10" s="82"/>
      <c r="M10" s="82"/>
      <c r="N10" s="83"/>
    </row>
    <row r="11" spans="1:14" ht="16.5">
      <c r="B11" s="51"/>
      <c r="C11" s="52"/>
      <c r="D11" s="52"/>
      <c r="F11" s="55" t="s">
        <v>71</v>
      </c>
      <c r="G11" s="56">
        <v>50</v>
      </c>
      <c r="H11" s="56">
        <f>IF(F11&lt;&gt;"",VLOOKUP(F11, IngredientTable[], 6, FALSE),"")</f>
        <v>1.1785714285714287E-2</v>
      </c>
      <c r="I11" s="56">
        <f>IF(F11&lt;&gt;"",G11*H11,"")</f>
        <v>0.5892857142857143</v>
      </c>
      <c r="K11" s="55" t="s">
        <v>72</v>
      </c>
      <c r="L11" s="56">
        <v>37</v>
      </c>
      <c r="M11" s="56">
        <f>IF(K11&lt;&gt;"",VLOOKUP(K11, IngredientTable[], 6, FALSE),"")</f>
        <v>1.8600000000000002E-2</v>
      </c>
      <c r="N11" s="56">
        <f>IF(K11&lt;&gt;"",L11*M11,"")</f>
        <v>0.68820000000000003</v>
      </c>
    </row>
    <row r="12" spans="1:14" ht="16.5">
      <c r="B12" s="51"/>
      <c r="C12" s="52"/>
      <c r="D12" s="52"/>
      <c r="F12" s="57"/>
      <c r="G12" s="58"/>
      <c r="H12" s="58" t="str">
        <f>IF(F12&lt;&gt;"",VLOOKUP(F12, IngredientTable[], 6, FALSE),"")</f>
        <v/>
      </c>
      <c r="I12" s="58" t="str">
        <f>IF(F12&lt;&gt;"",G12*H12,"")</f>
        <v/>
      </c>
      <c r="K12" s="57"/>
      <c r="L12" s="58"/>
      <c r="M12" s="58" t="str">
        <f>IF(K12&lt;&gt;"",VLOOKUP(K12, IngredientTable[], 6, FALSE),"")</f>
        <v/>
      </c>
      <c r="N12" s="58" t="str">
        <f>IF(K12&lt;&gt;"",L12*M12,"")</f>
        <v/>
      </c>
    </row>
    <row r="13" spans="1:14" ht="16.5">
      <c r="B13" s="51"/>
      <c r="C13" s="52"/>
      <c r="D13" s="52"/>
      <c r="F13" s="59" t="s">
        <v>190</v>
      </c>
      <c r="G13" s="60"/>
      <c r="H13" s="60"/>
      <c r="I13" s="61">
        <f>SUM(I11:I12)</f>
        <v>0.5892857142857143</v>
      </c>
      <c r="K13" s="59" t="s">
        <v>190</v>
      </c>
      <c r="L13" s="60"/>
      <c r="M13" s="60"/>
      <c r="N13" s="61">
        <f>SUM(N11:N12)</f>
        <v>0.68820000000000003</v>
      </c>
    </row>
    <row r="14" spans="1:14" ht="16.5">
      <c r="D14" s="13">
        <f>SUM(Table1141937414750535659626568717494[Total Cost (RM)])</f>
        <v>0</v>
      </c>
      <c r="F14" s="84" t="s">
        <v>98</v>
      </c>
      <c r="G14" s="85"/>
      <c r="H14" s="85"/>
      <c r="I14" s="86"/>
      <c r="K14" s="84" t="s">
        <v>98</v>
      </c>
      <c r="L14" s="85"/>
      <c r="M14" s="85"/>
      <c r="N14" s="86"/>
    </row>
    <row r="15" spans="1:14" ht="16.5">
      <c r="F15" s="55"/>
      <c r="G15" s="62"/>
      <c r="H15" s="62" t="str">
        <f>IF(F15&lt;&gt;"",VLOOKUP(F15, MixedIngredientTable[], 4, FALSE),"")</f>
        <v/>
      </c>
      <c r="I15" s="62" t="str">
        <f>IF(F15&lt;&gt;"",G15*H15,"")</f>
        <v/>
      </c>
      <c r="K15" s="55"/>
      <c r="L15" s="62"/>
      <c r="M15" s="62" t="str">
        <f>IF(K15&lt;&gt;"",VLOOKUP(K15, MixedIngredientTable[], 4, FALSE),"")</f>
        <v/>
      </c>
      <c r="N15" s="62" t="str">
        <f>IF(K15&lt;&gt;"",L15*M15,"")</f>
        <v/>
      </c>
    </row>
    <row r="16" spans="1:14" ht="16.5">
      <c r="A16" s="1" t="s">
        <v>85</v>
      </c>
      <c r="F16" s="63"/>
      <c r="G16" s="64"/>
      <c r="H16" s="64" t="str">
        <f>IF(F16&lt;&gt;"",VLOOKUP(F16, MixedIngredientTable[], 4, FALSE),"")</f>
        <v/>
      </c>
      <c r="I16" s="65" t="str">
        <f>IF(F16&lt;&gt;"",G16*H16,"")</f>
        <v/>
      </c>
      <c r="K16" s="63"/>
      <c r="L16" s="64"/>
      <c r="M16" s="64" t="str">
        <f>IF(K16&lt;&gt;"",VLOOKUP(K16, MixedIngredientTable[], 4, FALSE),"")</f>
        <v/>
      </c>
      <c r="N16" s="65" t="str">
        <f>IF(K16&lt;&gt;"",L16*M16,"")</f>
        <v/>
      </c>
    </row>
    <row r="17" spans="1:14" ht="16.5">
      <c r="A17" s="7" t="s">
        <v>7</v>
      </c>
      <c r="B17" s="5" t="s">
        <v>86</v>
      </c>
      <c r="C17" s="13" t="s">
        <v>74</v>
      </c>
      <c r="D17" s="13" t="s">
        <v>10</v>
      </c>
      <c r="F17" s="59" t="s">
        <v>190</v>
      </c>
      <c r="G17" s="60"/>
      <c r="H17" s="60"/>
      <c r="I17" s="66">
        <f>SUM(I15:I16)</f>
        <v>0</v>
      </c>
      <c r="K17" s="59" t="s">
        <v>190</v>
      </c>
      <c r="L17" s="60"/>
      <c r="M17" s="60"/>
      <c r="N17" s="66">
        <f>SUM(N15:N16)</f>
        <v>0</v>
      </c>
    </row>
    <row r="18" spans="1:14" ht="16.5">
      <c r="A18" t="s">
        <v>130</v>
      </c>
      <c r="B18">
        <v>9</v>
      </c>
      <c r="C18">
        <f>IF(A18&lt;&gt;"",VLOOKUP(Table1173594548515457606366697291[[#This Row],[Name]], IngredientTable[], 6, FALSE),"")</f>
        <v>0.38043478260869568</v>
      </c>
      <c r="D18">
        <f>IF(Table1173594548515457606366697291[[#This Row],[Name]]&lt;&gt;"",Table1173594548515457606366697291[[#This Row],[Quantity]]*Table1173594548515457606366697291[[#This Row],[Cost Per Unit (RM)]],"")</f>
        <v>3.4239130434782612</v>
      </c>
    </row>
    <row r="19" spans="1:14" ht="16.5">
      <c r="C19" t="str">
        <f>IF(A19&lt;&gt;"",VLOOKUP(Table1173594548515457606366697291[[#This Row],[Name]], IngredientTable[], 6, FALSE),"")</f>
        <v/>
      </c>
      <c r="D19" t="str">
        <f>IF(Table1173594548515457606366697291[[#This Row],[Name]]&lt;&gt;"",Table1173594548515457606366697291[[#This Row],[Quantity]]*Table1173594548515457606366697291[[#This Row],[Cost Per Unit (RM)]],"")</f>
        <v/>
      </c>
    </row>
    <row r="20" spans="1:14" ht="16.5">
      <c r="C20" t="str">
        <f>IF(A20&lt;&gt;"",VLOOKUP(Table1173594548515457606366697291[[#This Row],[Name]], IngredientTable[], 6, FALSE),"")</f>
        <v/>
      </c>
      <c r="D20" t="str">
        <f>IF(Table1173594548515457606366697291[[#This Row],[Name]]&lt;&gt;"",Table1173594548515457606366697291[[#This Row],[Quantity]]*Table1173594548515457606366697291[[#This Row],[Cost Per Unit (RM)]],"")</f>
        <v/>
      </c>
    </row>
    <row r="21" spans="1:14" ht="16.5">
      <c r="D21" s="13">
        <f>SUM(Table1173594548515457606366697291[Total Cost (RM)])</f>
        <v>3.4239130434782612</v>
      </c>
    </row>
    <row r="22" spans="1:14" ht="16.5">
      <c r="A22" s="1" t="s">
        <v>161</v>
      </c>
    </row>
    <row r="23" spans="1:14" ht="16.5">
      <c r="A23" s="7" t="s">
        <v>7</v>
      </c>
      <c r="B23" s="5" t="s">
        <v>86</v>
      </c>
      <c r="C23" s="13" t="s">
        <v>74</v>
      </c>
      <c r="D23" s="13" t="s">
        <v>10</v>
      </c>
    </row>
    <row r="24" spans="1:14" ht="16.5">
      <c r="A24" s="17" t="s">
        <v>149</v>
      </c>
      <c r="B24" s="18">
        <v>1</v>
      </c>
      <c r="C24" s="18">
        <f>IF(A24&lt;&gt;"",VLOOKUP(Table41836124649525558616467707393[[#This Row],[Name]], PackagingTable[], 6, FALSE),"")</f>
        <v>0.19800000000000001</v>
      </c>
      <c r="D24" s="18">
        <f>IF(Table41836124649525558616467707393[[#This Row],[Name]]&lt;&gt;"",Table41836124649525558616467707393[[#This Row],[Quantity]]*Table41836124649525558616467707393[[#This Row],[Cost Per Unit (RM)]],"")</f>
        <v>0.19800000000000001</v>
      </c>
    </row>
    <row r="25" spans="1:14" ht="16.5">
      <c r="A25" s="17" t="s">
        <v>150</v>
      </c>
      <c r="B25" s="18">
        <v>1</v>
      </c>
      <c r="C25" s="18">
        <f>IF(A25&lt;&gt;"",VLOOKUP(Table41836124649525558616467707393[[#This Row],[Name]], PackagingTable[], 6, FALSE),"")</f>
        <v>0.11</v>
      </c>
      <c r="D25" s="18">
        <f>IF(Table41836124649525558616467707393[[#This Row],[Name]]&lt;&gt;"",Table41836124649525558616467707393[[#This Row],[Quantity]]*Table41836124649525558616467707393[[#This Row],[Cost Per Unit (RM)]],"")</f>
        <v>0.11</v>
      </c>
    </row>
    <row r="26" spans="1:14" ht="16.5">
      <c r="A26" s="17" t="s">
        <v>153</v>
      </c>
      <c r="B26" s="18">
        <v>1</v>
      </c>
      <c r="C26" s="18">
        <f>IF(A26&lt;&gt;"",VLOOKUP(Table41836124649525558616467707393[[#This Row],[Name]], PackagingTable[], 6, FALSE),"")</f>
        <v>0.125</v>
      </c>
      <c r="D26" s="18">
        <f>IF(Table41836124649525558616467707393[[#This Row],[Name]]&lt;&gt;"",Table41836124649525558616467707393[[#This Row],[Quantity]]*Table41836124649525558616467707393[[#This Row],[Cost Per Unit (RM)]],"")</f>
        <v>0.125</v>
      </c>
    </row>
    <row r="27" spans="1:14" ht="16.5">
      <c r="B27" s="13"/>
      <c r="C27" s="13"/>
      <c r="D27" s="13">
        <f>SUM(Table41836124649525558616467707393[Total Cost (RM)])</f>
        <v>0.433</v>
      </c>
    </row>
  </sheetData>
  <mergeCells count="4">
    <mergeCell ref="F10:I10"/>
    <mergeCell ref="K10:N10"/>
    <mergeCell ref="F14:I14"/>
    <mergeCell ref="K14:N14"/>
  </mergeCells>
  <dataValidations count="4">
    <dataValidation allowBlank="1" showInputMessage="1" showErrorMessage="1" sqref="F13 I13 F17 I17 K13 N13 K17 N17" xr:uid="{1B86FEE7-3312-4570-9121-42ED1BE37DC1}"/>
    <dataValidation type="list" allowBlank="1" showInputMessage="1" showErrorMessage="1" sqref="A18:A20 F11:F12 K11:K12" xr:uid="{642885AF-76E4-4617-8A1F-20B609F7344D}">
      <formula1>INDIRECT("IngredientTable[Name]")</formula1>
    </dataValidation>
    <dataValidation type="list" allowBlank="1" showInputMessage="1" showErrorMessage="1" sqref="F15:F16 K15:K16" xr:uid="{322B9CEE-1E1C-4205-9F64-D1798D9174FF}">
      <formula1>INDIRECT("MixedIngredientTable[Name]")</formula1>
    </dataValidation>
    <dataValidation type="list" allowBlank="1" showInputMessage="1" showErrorMessage="1" sqref="A24:A26" xr:uid="{C8B927D9-E5B4-4DD8-82B4-646765909D3B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75CA-5166-4D56-8160-594CF94A4010}">
  <sheetPr>
    <tabColor theme="8" tint="0.39997558519241921"/>
  </sheetPr>
  <dimension ref="A1:N27"/>
  <sheetViews>
    <sheetView topLeftCell="A3" workbookViewId="0">
      <selection activeCell="A18" sqref="A18"/>
    </sheetView>
  </sheetViews>
  <sheetFormatPr defaultColWidth="11" defaultRowHeight="15.75"/>
  <cols>
    <col min="1" max="1" width="22.125" bestFit="1" customWidth="1"/>
    <col min="2" max="2" width="20.5" bestFit="1" customWidth="1"/>
    <col min="3" max="3" width="21.5" bestFit="1" customWidth="1"/>
    <col min="4" max="4" width="18.875" bestFit="1" customWidth="1"/>
    <col min="5" max="5" width="9"/>
    <col min="6" max="6" width="16.375" bestFit="1" customWidth="1"/>
    <col min="7" max="7" width="13.25" bestFit="1" customWidth="1"/>
    <col min="8" max="8" width="13.75" bestFit="1" customWidth="1"/>
    <col min="9" max="9" width="14.375" bestFit="1" customWidth="1"/>
    <col min="10" max="10" width="9"/>
    <col min="11" max="11" width="14.875" customWidth="1"/>
    <col min="12" max="12" width="13.5" customWidth="1"/>
  </cols>
  <sheetData>
    <row r="1" spans="1:14">
      <c r="A1" s="1" t="s">
        <v>158</v>
      </c>
      <c r="B1" s="1" t="s">
        <v>193</v>
      </c>
    </row>
    <row r="2" spans="1:14">
      <c r="A2" s="1" t="s">
        <v>83</v>
      </c>
      <c r="B2" s="8" t="s">
        <v>46</v>
      </c>
    </row>
    <row r="4" spans="1:14">
      <c r="A4" s="1" t="s">
        <v>84</v>
      </c>
      <c r="F4" s="8" t="s">
        <v>186</v>
      </c>
      <c r="G4" s="8" t="s">
        <v>187</v>
      </c>
      <c r="K4" s="8" t="s">
        <v>186</v>
      </c>
      <c r="L4" s="8" t="s">
        <v>188</v>
      </c>
    </row>
    <row r="5" spans="1:14">
      <c r="A5" s="3" t="s">
        <v>9</v>
      </c>
      <c r="B5" s="35" t="s">
        <v>10</v>
      </c>
      <c r="C5" s="36" t="s">
        <v>160</v>
      </c>
      <c r="D5" s="37" t="s">
        <v>12</v>
      </c>
      <c r="F5" s="3" t="s">
        <v>9</v>
      </c>
      <c r="G5" s="35" t="s">
        <v>10</v>
      </c>
      <c r="H5" s="36" t="s">
        <v>160</v>
      </c>
      <c r="I5" s="37" t="s">
        <v>12</v>
      </c>
      <c r="K5" s="3" t="s">
        <v>9</v>
      </c>
      <c r="L5" s="35" t="s">
        <v>10</v>
      </c>
      <c r="M5" s="36" t="s">
        <v>160</v>
      </c>
      <c r="N5" s="37" t="s">
        <v>12</v>
      </c>
    </row>
    <row r="6" spans="1:14">
      <c r="A6" s="2">
        <v>8.9</v>
      </c>
      <c r="B6" s="38">
        <f>SUM(Table117359454851545760636669729195[[#Totals],[Total Cost (RM)]]+Table4183612464952555861646770739396[[#Totals],[Total Cost (RM)]]+Table114193741475053565962656871749497[[#Totals],[Total Cost (RM)]])</f>
        <v>2.6309999999999998</v>
      </c>
      <c r="C6" s="39">
        <f>A6-B6</f>
        <v>6.2690000000000001</v>
      </c>
      <c r="D6" s="40">
        <f>(C6/A6)*100</f>
        <v>70.438202247191001</v>
      </c>
      <c r="F6" s="2">
        <v>9.9</v>
      </c>
      <c r="G6" s="38">
        <f>SUM(Table117359454851545760636669729195[[#Totals],[Total Cost (RM)]]+Table4183612464952555861646770739396[[#Totals],[Total Cost (RM)]]+Table114193741475053565962656871749497[[#Totals],[Total Cost (RM)]],I13,I17)</f>
        <v>3.2202857142857142</v>
      </c>
      <c r="H6" s="39">
        <f>F6-G6</f>
        <v>6.6797142857142866</v>
      </c>
      <c r="I6" s="40">
        <f>(H6/F6)*100</f>
        <v>67.471861471861487</v>
      </c>
      <c r="K6" s="2">
        <v>9.9</v>
      </c>
      <c r="L6" s="38">
        <f>SUM(Table117359454851545760636669729195[[#Totals],[Total Cost (RM)]]+Table4183612464952555861646770739396[[#Totals],[Total Cost (RM)]]+Table114193741475053565962656871749497[[#Totals],[Total Cost (RM)]],N13,N17)</f>
        <v>3.3191999999999999</v>
      </c>
      <c r="M6" s="39">
        <f>K6-L6</f>
        <v>6.5808</v>
      </c>
      <c r="N6" s="40">
        <f>(M6/K6)*100</f>
        <v>66.472727272727269</v>
      </c>
    </row>
    <row r="7" spans="1:14">
      <c r="D7" s="41"/>
    </row>
    <row r="8" spans="1:14">
      <c r="D8" s="41"/>
    </row>
    <row r="9" spans="1:14">
      <c r="A9" s="1" t="s">
        <v>98</v>
      </c>
      <c r="F9" s="67" t="s">
        <v>85</v>
      </c>
      <c r="G9" s="67" t="s">
        <v>86</v>
      </c>
      <c r="H9" s="54" t="s">
        <v>189</v>
      </c>
      <c r="I9" s="53" t="s">
        <v>10</v>
      </c>
      <c r="K9" s="67" t="s">
        <v>85</v>
      </c>
      <c r="L9" s="67" t="s">
        <v>86</v>
      </c>
      <c r="M9" s="54" t="s">
        <v>189</v>
      </c>
      <c r="N9" s="53" t="s">
        <v>10</v>
      </c>
    </row>
    <row r="10" spans="1:14">
      <c r="A10" s="7" t="s">
        <v>7</v>
      </c>
      <c r="B10" s="5" t="s">
        <v>86</v>
      </c>
      <c r="C10" s="13" t="s">
        <v>74</v>
      </c>
      <c r="D10" s="13" t="s">
        <v>10</v>
      </c>
      <c r="F10" s="81" t="s">
        <v>85</v>
      </c>
      <c r="G10" s="82"/>
      <c r="H10" s="82"/>
      <c r="I10" s="83"/>
      <c r="K10" s="81" t="s">
        <v>85</v>
      </c>
      <c r="L10" s="82"/>
      <c r="M10" s="82"/>
      <c r="N10" s="83"/>
    </row>
    <row r="11" spans="1:14">
      <c r="B11" s="51"/>
      <c r="C11" s="52"/>
      <c r="D11" s="52"/>
      <c r="F11" s="55" t="s">
        <v>71</v>
      </c>
      <c r="G11" s="56">
        <v>50</v>
      </c>
      <c r="H11" s="56">
        <f>IF(F11&lt;&gt;"",VLOOKUP(F11, IngredientTable[], 6, FALSE),"")</f>
        <v>1.1785714285714287E-2</v>
      </c>
      <c r="I11" s="56">
        <f>IF(F11&lt;&gt;"",G11*H11,"")</f>
        <v>0.5892857142857143</v>
      </c>
      <c r="K11" s="55" t="s">
        <v>72</v>
      </c>
      <c r="L11" s="56">
        <v>37</v>
      </c>
      <c r="M11" s="56">
        <f>IF(K11&lt;&gt;"",VLOOKUP(K11, IngredientTable[], 6, FALSE),"")</f>
        <v>1.8600000000000002E-2</v>
      </c>
      <c r="N11" s="56">
        <f>IF(K11&lt;&gt;"",L11*M11,"")</f>
        <v>0.68820000000000003</v>
      </c>
    </row>
    <row r="12" spans="1:14">
      <c r="B12" s="51"/>
      <c r="C12" s="52"/>
      <c r="D12" s="52"/>
      <c r="F12" s="57"/>
      <c r="G12" s="58"/>
      <c r="H12" s="58" t="str">
        <f>IF(F12&lt;&gt;"",VLOOKUP(F12, IngredientTable[], 6, FALSE),"")</f>
        <v/>
      </c>
      <c r="I12" s="58" t="str">
        <f>IF(F12&lt;&gt;"",G12*H12,"")</f>
        <v/>
      </c>
      <c r="K12" s="57"/>
      <c r="L12" s="58"/>
      <c r="M12" s="58" t="str">
        <f>IF(K12&lt;&gt;"",VLOOKUP(K12, IngredientTable[], 6, FALSE),"")</f>
        <v/>
      </c>
      <c r="N12" s="58" t="str">
        <f>IF(K12&lt;&gt;"",L12*M12,"")</f>
        <v/>
      </c>
    </row>
    <row r="13" spans="1:14">
      <c r="B13" s="51"/>
      <c r="C13" s="52"/>
      <c r="D13" s="52"/>
      <c r="F13" s="59" t="s">
        <v>190</v>
      </c>
      <c r="G13" s="60"/>
      <c r="H13" s="60"/>
      <c r="I13" s="61">
        <f>SUM(I11:I12)</f>
        <v>0.5892857142857143</v>
      </c>
      <c r="K13" s="59" t="s">
        <v>190</v>
      </c>
      <c r="L13" s="60"/>
      <c r="M13" s="60"/>
      <c r="N13" s="61">
        <f>SUM(N11:N12)</f>
        <v>0.68820000000000003</v>
      </c>
    </row>
    <row r="14" spans="1:14">
      <c r="D14" s="13">
        <f>SUM(Table114193741475053565962656871749497[Total Cost (RM)])</f>
        <v>0</v>
      </c>
      <c r="F14" s="84" t="s">
        <v>98</v>
      </c>
      <c r="G14" s="85"/>
      <c r="H14" s="85"/>
      <c r="I14" s="86"/>
      <c r="K14" s="84" t="s">
        <v>98</v>
      </c>
      <c r="L14" s="85"/>
      <c r="M14" s="85"/>
      <c r="N14" s="86"/>
    </row>
    <row r="15" spans="1:14">
      <c r="F15" s="55"/>
      <c r="G15" s="62"/>
      <c r="H15" s="62" t="str">
        <f>IF(F15&lt;&gt;"",VLOOKUP(F15, MixedIngredientTable[], 4, FALSE),"")</f>
        <v/>
      </c>
      <c r="I15" s="62" t="str">
        <f>IF(F15&lt;&gt;"",G15*H15,"")</f>
        <v/>
      </c>
      <c r="K15" s="55"/>
      <c r="L15" s="62"/>
      <c r="M15" s="62" t="str">
        <f>IF(K15&lt;&gt;"",VLOOKUP(K15, MixedIngredientTable[], 4, FALSE),"")</f>
        <v/>
      </c>
      <c r="N15" s="62" t="str">
        <f>IF(K15&lt;&gt;"",L15*M15,"")</f>
        <v/>
      </c>
    </row>
    <row r="16" spans="1:14">
      <c r="A16" s="1" t="s">
        <v>85</v>
      </c>
      <c r="F16" s="63"/>
      <c r="G16" s="64"/>
      <c r="H16" s="64" t="str">
        <f>IF(F16&lt;&gt;"",VLOOKUP(F16, MixedIngredientTable[], 4, FALSE),"")</f>
        <v/>
      </c>
      <c r="I16" s="65" t="str">
        <f>IF(F16&lt;&gt;"",G16*H16,"")</f>
        <v/>
      </c>
      <c r="K16" s="63"/>
      <c r="L16" s="64"/>
      <c r="M16" s="64" t="str">
        <f>IF(K16&lt;&gt;"",VLOOKUP(K16, MixedIngredientTable[], 4, FALSE),"")</f>
        <v/>
      </c>
      <c r="N16" s="65" t="str">
        <f>IF(K16&lt;&gt;"",L16*M16,"")</f>
        <v/>
      </c>
    </row>
    <row r="17" spans="1:14">
      <c r="A17" s="7" t="s">
        <v>7</v>
      </c>
      <c r="B17" s="5" t="s">
        <v>86</v>
      </c>
      <c r="C17" s="13" t="s">
        <v>74</v>
      </c>
      <c r="D17" s="13" t="s">
        <v>10</v>
      </c>
      <c r="F17" s="59" t="s">
        <v>190</v>
      </c>
      <c r="G17" s="60"/>
      <c r="H17" s="60"/>
      <c r="I17" s="66">
        <f>SUM(I15:I16)</f>
        <v>0</v>
      </c>
      <c r="K17" s="59" t="s">
        <v>190</v>
      </c>
      <c r="L17" s="60"/>
      <c r="M17" s="60"/>
      <c r="N17" s="66">
        <f>SUM(N15:N16)</f>
        <v>0</v>
      </c>
    </row>
    <row r="18" spans="1:14">
      <c r="A18" t="s">
        <v>46</v>
      </c>
      <c r="B18">
        <v>140</v>
      </c>
      <c r="C18">
        <f>IF(A18&lt;&gt;"",VLOOKUP(Table117359454851545760636669729195[[#This Row],[Name]], IngredientTable[], 6, FALSE),"")</f>
        <v>1.5699999999999999E-2</v>
      </c>
      <c r="D18">
        <f>IF(Table117359454851545760636669729195[[#This Row],[Name]]&lt;&gt;"",Table117359454851545760636669729195[[#This Row],[Quantity]]*Table117359454851545760636669729195[[#This Row],[Cost Per Unit (RM)]],"")</f>
        <v>2.198</v>
      </c>
    </row>
    <row r="19" spans="1:14">
      <c r="C19" t="str">
        <f>IF(A19&lt;&gt;"",VLOOKUP(Table117359454851545760636669729195[[#This Row],[Name]], IngredientTable[], 6, FALSE),"")</f>
        <v/>
      </c>
      <c r="D19" t="str">
        <f>IF(Table117359454851545760636669729195[[#This Row],[Name]]&lt;&gt;"",Table117359454851545760636669729195[[#This Row],[Quantity]]*Table117359454851545760636669729195[[#This Row],[Cost Per Unit (RM)]],"")</f>
        <v/>
      </c>
    </row>
    <row r="20" spans="1:14">
      <c r="C20" t="str">
        <f>IF(A20&lt;&gt;"",VLOOKUP(Table117359454851545760636669729195[[#This Row],[Name]], IngredientTable[], 6, FALSE),"")</f>
        <v/>
      </c>
      <c r="D20" t="str">
        <f>IF(Table117359454851545760636669729195[[#This Row],[Name]]&lt;&gt;"",Table117359454851545760636669729195[[#This Row],[Quantity]]*Table117359454851545760636669729195[[#This Row],[Cost Per Unit (RM)]],"")</f>
        <v/>
      </c>
    </row>
    <row r="21" spans="1:14">
      <c r="D21" s="13">
        <f>SUM(Table117359454851545760636669729195[Total Cost (RM)])</f>
        <v>2.198</v>
      </c>
    </row>
    <row r="22" spans="1:14">
      <c r="A22" s="1" t="s">
        <v>161</v>
      </c>
    </row>
    <row r="23" spans="1:14">
      <c r="A23" s="7" t="s">
        <v>7</v>
      </c>
      <c r="B23" s="5" t="s">
        <v>86</v>
      </c>
      <c r="C23" s="13" t="s">
        <v>74</v>
      </c>
      <c r="D23" s="13" t="s">
        <v>10</v>
      </c>
    </row>
    <row r="24" spans="1:14">
      <c r="A24" s="17" t="s">
        <v>149</v>
      </c>
      <c r="B24" s="18">
        <v>1</v>
      </c>
      <c r="C24" s="18">
        <f>IF(A24&lt;&gt;"",VLOOKUP(Table4183612464952555861646770739396[[#This Row],[Name]], PackagingTable[], 6, FALSE),"")</f>
        <v>0.19800000000000001</v>
      </c>
      <c r="D24" s="18">
        <f>IF(Table4183612464952555861646770739396[[#This Row],[Name]]&lt;&gt;"",Table4183612464952555861646770739396[[#This Row],[Quantity]]*Table4183612464952555861646770739396[[#This Row],[Cost Per Unit (RM)]],"")</f>
        <v>0.19800000000000001</v>
      </c>
    </row>
    <row r="25" spans="1:14">
      <c r="A25" s="17" t="s">
        <v>150</v>
      </c>
      <c r="B25" s="18">
        <v>1</v>
      </c>
      <c r="C25" s="18">
        <f>IF(A25&lt;&gt;"",VLOOKUP(Table4183612464952555861646770739396[[#This Row],[Name]], PackagingTable[], 6, FALSE),"")</f>
        <v>0.11</v>
      </c>
      <c r="D25" s="18">
        <f>IF(Table4183612464952555861646770739396[[#This Row],[Name]]&lt;&gt;"",Table4183612464952555861646770739396[[#This Row],[Quantity]]*Table4183612464952555861646770739396[[#This Row],[Cost Per Unit (RM)]],"")</f>
        <v>0.11</v>
      </c>
    </row>
    <row r="26" spans="1:14">
      <c r="A26" s="17" t="s">
        <v>153</v>
      </c>
      <c r="B26" s="18">
        <v>1</v>
      </c>
      <c r="C26" s="18">
        <f>IF(A26&lt;&gt;"",VLOOKUP(Table4183612464952555861646770739396[[#This Row],[Name]], PackagingTable[], 6, FALSE),"")</f>
        <v>0.125</v>
      </c>
      <c r="D26" s="18">
        <f>IF(Table4183612464952555861646770739396[[#This Row],[Name]]&lt;&gt;"",Table4183612464952555861646770739396[[#This Row],[Quantity]]*Table4183612464952555861646770739396[[#This Row],[Cost Per Unit (RM)]],"")</f>
        <v>0.125</v>
      </c>
    </row>
    <row r="27" spans="1:14">
      <c r="B27" s="13"/>
      <c r="C27" s="13"/>
      <c r="D27" s="13">
        <f>SUM(Table4183612464952555861646770739396[Total Cost (RM)])</f>
        <v>0.433</v>
      </c>
    </row>
  </sheetData>
  <mergeCells count="4">
    <mergeCell ref="F10:I10"/>
    <mergeCell ref="K10:N10"/>
    <mergeCell ref="F14:I14"/>
    <mergeCell ref="K14:N14"/>
  </mergeCells>
  <dataValidations count="4">
    <dataValidation type="list" allowBlank="1" showInputMessage="1" showErrorMessage="1" sqref="A24:A26" xr:uid="{602A8AEA-0BF8-447F-81E3-6062B227B23C}">
      <formula1>INDIRECT("PackagingTable[Name]")</formula1>
    </dataValidation>
    <dataValidation type="list" allowBlank="1" showInputMessage="1" showErrorMessage="1" sqref="F15:F16 K15:K16" xr:uid="{8BC9A747-4811-4FEA-95AF-6E7E9984F2F0}">
      <formula1>INDIRECT("MixedIngredientTable[Name]")</formula1>
    </dataValidation>
    <dataValidation type="list" allowBlank="1" showInputMessage="1" showErrorMessage="1" sqref="A18:A20 F11:F12 K11:K12" xr:uid="{121C8AF6-E718-42C8-8587-D73D1E8B23DD}">
      <formula1>INDIRECT("IngredientTable[Name]")</formula1>
    </dataValidation>
    <dataValidation allowBlank="1" showInputMessage="1" showErrorMessage="1" sqref="F13 I13 F17 I17 K13 N13 K17 N17" xr:uid="{88AF118F-7A8C-4400-9B9D-85557C6670D9}"/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EACA-E469-49EA-BB37-FBD7BF00BBFE}">
  <sheetPr>
    <tabColor theme="8" tint="0.39997558519241921"/>
  </sheetPr>
  <dimension ref="A1:N27"/>
  <sheetViews>
    <sheetView workbookViewId="0">
      <selection activeCell="D9" sqref="D9"/>
    </sheetView>
  </sheetViews>
  <sheetFormatPr defaultColWidth="11" defaultRowHeight="15.75"/>
  <cols>
    <col min="1" max="1" width="22.125" bestFit="1" customWidth="1"/>
    <col min="2" max="2" width="20.5" bestFit="1" customWidth="1"/>
    <col min="3" max="3" width="21.5" bestFit="1" customWidth="1"/>
    <col min="4" max="4" width="18.875" bestFit="1" customWidth="1"/>
    <col min="5" max="5" width="9"/>
    <col min="6" max="6" width="16.375" bestFit="1" customWidth="1"/>
    <col min="7" max="7" width="13.25" bestFit="1" customWidth="1"/>
    <col min="8" max="8" width="13.75" bestFit="1" customWidth="1"/>
    <col min="9" max="9" width="14.375" bestFit="1" customWidth="1"/>
    <col min="10" max="10" width="9"/>
    <col min="11" max="11" width="14.875" customWidth="1"/>
    <col min="12" max="12" width="13.5" customWidth="1"/>
  </cols>
  <sheetData>
    <row r="1" spans="1:14">
      <c r="A1" s="1" t="s">
        <v>158</v>
      </c>
      <c r="B1" s="1" t="s">
        <v>194</v>
      </c>
    </row>
    <row r="2" spans="1:14">
      <c r="A2" s="1" t="s">
        <v>83</v>
      </c>
      <c r="B2" s="8" t="s">
        <v>47</v>
      </c>
    </row>
    <row r="4" spans="1:14">
      <c r="A4" s="1" t="s">
        <v>84</v>
      </c>
      <c r="F4" s="8" t="s">
        <v>186</v>
      </c>
      <c r="G4" s="8" t="s">
        <v>187</v>
      </c>
      <c r="K4" s="8" t="s">
        <v>186</v>
      </c>
      <c r="L4" s="8" t="s">
        <v>188</v>
      </c>
    </row>
    <row r="5" spans="1:14">
      <c r="A5" s="3" t="s">
        <v>9</v>
      </c>
      <c r="B5" s="35" t="s">
        <v>10</v>
      </c>
      <c r="C5" s="36" t="s">
        <v>160</v>
      </c>
      <c r="D5" s="37" t="s">
        <v>12</v>
      </c>
      <c r="F5" s="3" t="s">
        <v>9</v>
      </c>
      <c r="G5" s="35" t="s">
        <v>10</v>
      </c>
      <c r="H5" s="36" t="s">
        <v>160</v>
      </c>
      <c r="I5" s="37" t="s">
        <v>12</v>
      </c>
      <c r="K5" s="3" t="s">
        <v>9</v>
      </c>
      <c r="L5" s="35" t="s">
        <v>10</v>
      </c>
      <c r="M5" s="36" t="s">
        <v>160</v>
      </c>
      <c r="N5" s="37" t="s">
        <v>12</v>
      </c>
    </row>
    <row r="6" spans="1:14">
      <c r="A6" s="2">
        <v>8.9</v>
      </c>
      <c r="B6" s="38">
        <f>SUM(Table11735945485154576063666972919598[[#Totals],[Total Cost (RM)]]+Table418361246495255586164677073939699[[#Totals],[Total Cost (RM)]]+Table114193741475053565962656871749497100[[#Totals],[Total Cost (RM)]])</f>
        <v>3.8029324324324323</v>
      </c>
      <c r="C6" s="39">
        <f>A6-B6</f>
        <v>5.0970675675675681</v>
      </c>
      <c r="D6" s="40">
        <f>(C6/A6)*100</f>
        <v>57.270422107500764</v>
      </c>
      <c r="F6" s="2">
        <v>9.9</v>
      </c>
      <c r="G6" s="38">
        <f>SUM(Table11735945485154576063666972919598[[#Totals],[Total Cost (RM)]]+Table418361246495255586164677073939699[[#Totals],[Total Cost (RM)]]+Table114193741475053565962656871749497100[[#Totals],[Total Cost (RM)]],I13,I17)</f>
        <v>4.3922181467181467</v>
      </c>
      <c r="H6" s="39">
        <f>F6-G6</f>
        <v>5.5077818532818537</v>
      </c>
      <c r="I6" s="40">
        <f>(H6/F6)*100</f>
        <v>55.63416013416014</v>
      </c>
      <c r="K6" s="2">
        <v>9.9</v>
      </c>
      <c r="L6" s="38">
        <f>SUM(Table11735945485154576063666972919598[[#Totals],[Total Cost (RM)]]+Table418361246495255586164677073939699[[#Totals],[Total Cost (RM)]]+Table114193741475053565962656871749497100[[#Totals],[Total Cost (RM)]],N13,N17)</f>
        <v>4.4911324324324324</v>
      </c>
      <c r="M6" s="39">
        <f>K6-L6</f>
        <v>5.4088675675675679</v>
      </c>
      <c r="N6" s="40">
        <f>(M6/K6)*100</f>
        <v>54.635025935025936</v>
      </c>
    </row>
    <row r="7" spans="1:14">
      <c r="D7" s="41"/>
    </row>
    <row r="8" spans="1:14">
      <c r="D8" s="41"/>
    </row>
    <row r="9" spans="1:14">
      <c r="A9" s="1" t="s">
        <v>98</v>
      </c>
      <c r="F9" s="67" t="s">
        <v>85</v>
      </c>
      <c r="G9" s="67" t="s">
        <v>86</v>
      </c>
      <c r="H9" s="54" t="s">
        <v>189</v>
      </c>
      <c r="I9" s="53" t="s">
        <v>10</v>
      </c>
      <c r="K9" s="67" t="s">
        <v>85</v>
      </c>
      <c r="L9" s="67" t="s">
        <v>86</v>
      </c>
      <c r="M9" s="54" t="s">
        <v>189</v>
      </c>
      <c r="N9" s="53" t="s">
        <v>10</v>
      </c>
    </row>
    <row r="10" spans="1:14">
      <c r="A10" s="7" t="s">
        <v>7</v>
      </c>
      <c r="B10" s="5" t="s">
        <v>86</v>
      </c>
      <c r="C10" s="13" t="s">
        <v>74</v>
      </c>
      <c r="D10" s="13" t="s">
        <v>10</v>
      </c>
      <c r="F10" s="81" t="s">
        <v>85</v>
      </c>
      <c r="G10" s="82"/>
      <c r="H10" s="82"/>
      <c r="I10" s="83"/>
      <c r="K10" s="81" t="s">
        <v>85</v>
      </c>
      <c r="L10" s="82"/>
      <c r="M10" s="82"/>
      <c r="N10" s="83"/>
    </row>
    <row r="11" spans="1:14">
      <c r="B11" s="51"/>
      <c r="C11" s="52"/>
      <c r="D11" s="52"/>
      <c r="F11" s="55" t="s">
        <v>71</v>
      </c>
      <c r="G11" s="56">
        <v>50</v>
      </c>
      <c r="H11" s="56">
        <f>IF(F11&lt;&gt;"",VLOOKUP(F11, IngredientTable[], 6, FALSE),"")</f>
        <v>1.1785714285714287E-2</v>
      </c>
      <c r="I11" s="56">
        <f>IF(F11&lt;&gt;"",G11*H11,"")</f>
        <v>0.5892857142857143</v>
      </c>
      <c r="K11" s="55" t="s">
        <v>72</v>
      </c>
      <c r="L11" s="56">
        <v>37</v>
      </c>
      <c r="M11" s="56">
        <f>IF(K11&lt;&gt;"",VLOOKUP(K11, IngredientTable[], 6, FALSE),"")</f>
        <v>1.8600000000000002E-2</v>
      </c>
      <c r="N11" s="56">
        <f>IF(K11&lt;&gt;"",L11*M11,"")</f>
        <v>0.68820000000000003</v>
      </c>
    </row>
    <row r="12" spans="1:14">
      <c r="B12" s="51"/>
      <c r="C12" s="52"/>
      <c r="D12" s="52"/>
      <c r="F12" s="57"/>
      <c r="G12" s="58"/>
      <c r="H12" s="58" t="str">
        <f>IF(F12&lt;&gt;"",VLOOKUP(F12, IngredientTable[], 6, FALSE),"")</f>
        <v/>
      </c>
      <c r="I12" s="58" t="str">
        <f>IF(F12&lt;&gt;"",G12*H12,"")</f>
        <v/>
      </c>
      <c r="K12" s="57"/>
      <c r="L12" s="58"/>
      <c r="M12" s="58" t="str">
        <f>IF(K12&lt;&gt;"",VLOOKUP(K12, IngredientTable[], 6, FALSE),"")</f>
        <v/>
      </c>
      <c r="N12" s="58" t="str">
        <f>IF(K12&lt;&gt;"",L12*M12,"")</f>
        <v/>
      </c>
    </row>
    <row r="13" spans="1:14">
      <c r="B13" s="51"/>
      <c r="C13" s="52"/>
      <c r="D13" s="52"/>
      <c r="F13" s="59" t="s">
        <v>190</v>
      </c>
      <c r="G13" s="60"/>
      <c r="H13" s="60"/>
      <c r="I13" s="61">
        <f>SUM(I11:I12)</f>
        <v>0.5892857142857143</v>
      </c>
      <c r="K13" s="59" t="s">
        <v>190</v>
      </c>
      <c r="L13" s="60"/>
      <c r="M13" s="60"/>
      <c r="N13" s="61">
        <f>SUM(N11:N12)</f>
        <v>0.68820000000000003</v>
      </c>
    </row>
    <row r="14" spans="1:14">
      <c r="D14" s="13">
        <f>SUM(Table114193741475053565962656871749497100[Total Cost (RM)])</f>
        <v>0</v>
      </c>
      <c r="F14" s="84" t="s">
        <v>98</v>
      </c>
      <c r="G14" s="85"/>
      <c r="H14" s="85"/>
      <c r="I14" s="86"/>
      <c r="K14" s="84" t="s">
        <v>98</v>
      </c>
      <c r="L14" s="85"/>
      <c r="M14" s="85"/>
      <c r="N14" s="86"/>
    </row>
    <row r="15" spans="1:14">
      <c r="F15" s="55"/>
      <c r="G15" s="62"/>
      <c r="H15" s="62" t="str">
        <f>IF(F15&lt;&gt;"",VLOOKUP(F15, MixedIngredientTable[], 4, FALSE),"")</f>
        <v/>
      </c>
      <c r="I15" s="62" t="str">
        <f>IF(F15&lt;&gt;"",G15*H15,"")</f>
        <v/>
      </c>
      <c r="K15" s="55"/>
      <c r="L15" s="62"/>
      <c r="M15" s="62" t="str">
        <f>IF(K15&lt;&gt;"",VLOOKUP(K15, MixedIngredientTable[], 4, FALSE),"")</f>
        <v/>
      </c>
      <c r="N15" s="62" t="str">
        <f>IF(K15&lt;&gt;"",L15*M15,"")</f>
        <v/>
      </c>
    </row>
    <row r="16" spans="1:14">
      <c r="A16" s="1" t="s">
        <v>85</v>
      </c>
      <c r="F16" s="63"/>
      <c r="G16" s="64"/>
      <c r="H16" s="64" t="str">
        <f>IF(F16&lt;&gt;"",VLOOKUP(F16, MixedIngredientTable[], 4, FALSE),"")</f>
        <v/>
      </c>
      <c r="I16" s="65" t="str">
        <f>IF(F16&lt;&gt;"",G16*H16,"")</f>
        <v/>
      </c>
      <c r="K16" s="63"/>
      <c r="L16" s="64"/>
      <c r="M16" s="64" t="str">
        <f>IF(K16&lt;&gt;"",VLOOKUP(K16, MixedIngredientTable[], 4, FALSE),"")</f>
        <v/>
      </c>
      <c r="N16" s="65" t="str">
        <f>IF(K16&lt;&gt;"",L16*M16,"")</f>
        <v/>
      </c>
    </row>
    <row r="17" spans="1:14">
      <c r="A17" s="7" t="s">
        <v>7</v>
      </c>
      <c r="B17" s="5" t="s">
        <v>86</v>
      </c>
      <c r="C17" s="13" t="s">
        <v>74</v>
      </c>
      <c r="D17" s="13" t="s">
        <v>10</v>
      </c>
      <c r="F17" s="59" t="s">
        <v>190</v>
      </c>
      <c r="G17" s="60"/>
      <c r="H17" s="60"/>
      <c r="I17" s="66">
        <f>SUM(I15:I16)</f>
        <v>0</v>
      </c>
      <c r="K17" s="59" t="s">
        <v>190</v>
      </c>
      <c r="L17" s="60"/>
      <c r="M17" s="60"/>
      <c r="N17" s="66">
        <f>SUM(N15:N16)</f>
        <v>0</v>
      </c>
    </row>
    <row r="18" spans="1:14">
      <c r="A18" t="s">
        <v>47</v>
      </c>
      <c r="B18">
        <v>15</v>
      </c>
      <c r="C18">
        <f>IF(A18&lt;&gt;"",VLOOKUP(Table11735945485154576063666972919598[[#This Row],[Name]], IngredientTable[], 6, FALSE),"")</f>
        <v>0.22466216216216217</v>
      </c>
      <c r="D18">
        <f>IF(Table11735945485154576063666972919598[[#This Row],[Name]]&lt;&gt;"",Table11735945485154576063666972919598[[#This Row],[Quantity]]*Table11735945485154576063666972919598[[#This Row],[Cost Per Unit (RM)]],"")</f>
        <v>3.3699324324324325</v>
      </c>
    </row>
    <row r="19" spans="1:14">
      <c r="C19" t="str">
        <f>IF(A19&lt;&gt;"",VLOOKUP(Table11735945485154576063666972919598[[#This Row],[Name]], IngredientTable[], 6, FALSE),"")</f>
        <v/>
      </c>
      <c r="D19" t="str">
        <f>IF(Table11735945485154576063666972919598[[#This Row],[Name]]&lt;&gt;"",Table11735945485154576063666972919598[[#This Row],[Quantity]]*Table11735945485154576063666972919598[[#This Row],[Cost Per Unit (RM)]],"")</f>
        <v/>
      </c>
    </row>
    <row r="20" spans="1:14">
      <c r="C20" t="str">
        <f>IF(A20&lt;&gt;"",VLOOKUP(Table11735945485154576063666972919598[[#This Row],[Name]], IngredientTable[], 6, FALSE),"")</f>
        <v/>
      </c>
      <c r="D20" t="str">
        <f>IF(Table11735945485154576063666972919598[[#This Row],[Name]]&lt;&gt;"",Table11735945485154576063666972919598[[#This Row],[Quantity]]*Table11735945485154576063666972919598[[#This Row],[Cost Per Unit (RM)]],"")</f>
        <v/>
      </c>
    </row>
    <row r="21" spans="1:14">
      <c r="D21" s="13">
        <f>SUM(Table11735945485154576063666972919598[Total Cost (RM)])</f>
        <v>3.3699324324324325</v>
      </c>
    </row>
    <row r="22" spans="1:14">
      <c r="A22" s="1" t="s">
        <v>161</v>
      </c>
    </row>
    <row r="23" spans="1:14">
      <c r="A23" s="7" t="s">
        <v>7</v>
      </c>
      <c r="B23" s="5" t="s">
        <v>86</v>
      </c>
      <c r="C23" s="13" t="s">
        <v>74</v>
      </c>
      <c r="D23" s="13" t="s">
        <v>10</v>
      </c>
    </row>
    <row r="24" spans="1:14">
      <c r="A24" s="17" t="s">
        <v>149</v>
      </c>
      <c r="B24" s="18">
        <v>1</v>
      </c>
      <c r="C24" s="18">
        <f>IF(A24&lt;&gt;"",VLOOKUP(Table418361246495255586164677073939699[[#This Row],[Name]], PackagingTable[], 6, FALSE),"")</f>
        <v>0.19800000000000001</v>
      </c>
      <c r="D24" s="18">
        <f>IF(Table418361246495255586164677073939699[[#This Row],[Name]]&lt;&gt;"",Table418361246495255586164677073939699[[#This Row],[Quantity]]*Table418361246495255586164677073939699[[#This Row],[Cost Per Unit (RM)]],"")</f>
        <v>0.19800000000000001</v>
      </c>
    </row>
    <row r="25" spans="1:14">
      <c r="A25" s="17" t="s">
        <v>150</v>
      </c>
      <c r="B25" s="18">
        <v>1</v>
      </c>
      <c r="C25" s="18">
        <f>IF(A25&lt;&gt;"",VLOOKUP(Table418361246495255586164677073939699[[#This Row],[Name]], PackagingTable[], 6, FALSE),"")</f>
        <v>0.11</v>
      </c>
      <c r="D25" s="18">
        <f>IF(Table418361246495255586164677073939699[[#This Row],[Name]]&lt;&gt;"",Table418361246495255586164677073939699[[#This Row],[Quantity]]*Table418361246495255586164677073939699[[#This Row],[Cost Per Unit (RM)]],"")</f>
        <v>0.11</v>
      </c>
    </row>
    <row r="26" spans="1:14">
      <c r="A26" s="17" t="s">
        <v>153</v>
      </c>
      <c r="B26" s="18">
        <v>1</v>
      </c>
      <c r="C26" s="18">
        <f>IF(A26&lt;&gt;"",VLOOKUP(Table418361246495255586164677073939699[[#This Row],[Name]], PackagingTable[], 6, FALSE),"")</f>
        <v>0.125</v>
      </c>
      <c r="D26" s="18">
        <f>IF(Table418361246495255586164677073939699[[#This Row],[Name]]&lt;&gt;"",Table418361246495255586164677073939699[[#This Row],[Quantity]]*Table418361246495255586164677073939699[[#This Row],[Cost Per Unit (RM)]],"")</f>
        <v>0.125</v>
      </c>
    </row>
    <row r="27" spans="1:14">
      <c r="B27" s="13"/>
      <c r="C27" s="13"/>
      <c r="D27" s="13">
        <f>SUM(Table418361246495255586164677073939699[Total Cost (RM)])</f>
        <v>0.433</v>
      </c>
    </row>
  </sheetData>
  <mergeCells count="4">
    <mergeCell ref="F10:I10"/>
    <mergeCell ref="K10:N10"/>
    <mergeCell ref="F14:I14"/>
    <mergeCell ref="K14:N14"/>
  </mergeCells>
  <dataValidations count="4">
    <dataValidation allowBlank="1" showInputMessage="1" showErrorMessage="1" sqref="F13 I13 F17 I17 K13 N13 K17 N17" xr:uid="{5D825D59-F444-476A-8965-A2A3AA5F43D9}"/>
    <dataValidation type="list" allowBlank="1" showInputMessage="1" showErrorMessage="1" sqref="A18:A20 F11:F12 K11:K12" xr:uid="{D1326CB2-CDD4-41BA-920F-D1F3D6BBE8B1}">
      <formula1>INDIRECT("IngredientTable[Name]")</formula1>
    </dataValidation>
    <dataValidation type="list" allowBlank="1" showInputMessage="1" showErrorMessage="1" sqref="F15:F16 K15:K16" xr:uid="{88F0FA52-CEDD-4CD7-9BD1-77A6DBB86B55}">
      <formula1>INDIRECT("MixedIngredientTable[Name]")</formula1>
    </dataValidation>
    <dataValidation type="list" allowBlank="1" showInputMessage="1" showErrorMessage="1" sqref="A24:A26" xr:uid="{73617425-DE11-42C4-AD31-82F8F591FD51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36BD-13E4-403A-8510-D82C8DC0E935}">
  <sheetPr>
    <tabColor theme="8" tint="0.39997558519241921"/>
  </sheetPr>
  <dimension ref="A1:AH25"/>
  <sheetViews>
    <sheetView workbookViewId="0">
      <selection activeCell="C27" sqref="C27"/>
    </sheetView>
  </sheetViews>
  <sheetFormatPr defaultColWidth="11" defaultRowHeight="16.5"/>
  <cols>
    <col min="1" max="1" width="19.75" bestFit="1" customWidth="1"/>
    <col min="2" max="2" width="13.25" bestFit="1" customWidth="1"/>
    <col min="3" max="3" width="17.75" bestFit="1" customWidth="1"/>
    <col min="4" max="4" width="15.25" bestFit="1" customWidth="1"/>
    <col min="6" max="6" width="15.25" bestFit="1" customWidth="1"/>
    <col min="7" max="7" width="20" bestFit="1" customWidth="1"/>
    <col min="8" max="8" width="13.75" bestFit="1" customWidth="1"/>
    <col min="9" max="9" width="14.375" bestFit="1" customWidth="1"/>
    <col min="11" max="11" width="15.25" bestFit="1" customWidth="1"/>
    <col min="12" max="12" width="17.75" bestFit="1" customWidth="1"/>
    <col min="13" max="13" width="13.75" bestFit="1" customWidth="1"/>
    <col min="14" max="14" width="14.375" bestFit="1" customWidth="1"/>
    <col min="16" max="16" width="14" bestFit="1" customWidth="1"/>
    <col min="17" max="17" width="21.625" bestFit="1" customWidth="1"/>
    <col min="21" max="21" width="14.125" bestFit="1" customWidth="1"/>
    <col min="22" max="22" width="18.75" bestFit="1" customWidth="1"/>
    <col min="26" max="26" width="21.5" bestFit="1" customWidth="1"/>
    <col min="27" max="27" width="20.75" bestFit="1" customWidth="1"/>
    <col min="31" max="31" width="15.375" bestFit="1" customWidth="1"/>
    <col min="32" max="32" width="15" bestFit="1" customWidth="1"/>
  </cols>
  <sheetData>
    <row r="1" spans="1:34">
      <c r="A1" s="1" t="s">
        <v>158</v>
      </c>
      <c r="B1" s="1" t="s">
        <v>195</v>
      </c>
    </row>
    <row r="2" spans="1:34">
      <c r="A2" s="1" t="s">
        <v>83</v>
      </c>
      <c r="B2" s="8" t="s">
        <v>48</v>
      </c>
    </row>
    <row r="4" spans="1:34">
      <c r="A4" s="1" t="s">
        <v>84</v>
      </c>
      <c r="F4" s="8" t="s">
        <v>186</v>
      </c>
      <c r="G4" s="8" t="s">
        <v>196</v>
      </c>
      <c r="K4" s="8" t="s">
        <v>186</v>
      </c>
      <c r="L4" s="8" t="s">
        <v>197</v>
      </c>
      <c r="P4" s="8" t="s">
        <v>186</v>
      </c>
      <c r="Q4" s="8" t="s">
        <v>198</v>
      </c>
      <c r="U4" s="8" t="s">
        <v>186</v>
      </c>
      <c r="V4" s="8" t="s">
        <v>199</v>
      </c>
      <c r="Z4" s="8" t="s">
        <v>186</v>
      </c>
      <c r="AA4" s="8" t="s">
        <v>200</v>
      </c>
      <c r="AE4" s="8" t="s">
        <v>186</v>
      </c>
      <c r="AF4" s="8" t="s">
        <v>201</v>
      </c>
    </row>
    <row r="5" spans="1:34">
      <c r="A5" s="3" t="s">
        <v>9</v>
      </c>
      <c r="B5" s="35" t="s">
        <v>10</v>
      </c>
      <c r="C5" s="36" t="s">
        <v>160</v>
      </c>
      <c r="D5" s="37" t="s">
        <v>12</v>
      </c>
      <c r="F5" s="3" t="s">
        <v>9</v>
      </c>
      <c r="G5" s="35" t="s">
        <v>10</v>
      </c>
      <c r="H5" s="36" t="s">
        <v>160</v>
      </c>
      <c r="I5" s="37" t="s">
        <v>12</v>
      </c>
      <c r="K5" s="3" t="s">
        <v>9</v>
      </c>
      <c r="L5" s="35" t="s">
        <v>10</v>
      </c>
      <c r="M5" s="36" t="s">
        <v>160</v>
      </c>
      <c r="N5" s="37" t="s">
        <v>12</v>
      </c>
      <c r="P5" s="3" t="s">
        <v>9</v>
      </c>
      <c r="Q5" s="35" t="s">
        <v>10</v>
      </c>
      <c r="R5" s="36" t="s">
        <v>160</v>
      </c>
      <c r="S5" s="37" t="s">
        <v>12</v>
      </c>
      <c r="U5" s="3" t="s">
        <v>9</v>
      </c>
      <c r="V5" s="35" t="s">
        <v>10</v>
      </c>
      <c r="W5" s="36" t="s">
        <v>160</v>
      </c>
      <c r="X5" s="37" t="s">
        <v>12</v>
      </c>
      <c r="Z5" s="3" t="s">
        <v>9</v>
      </c>
      <c r="AA5" s="35" t="s">
        <v>10</v>
      </c>
      <c r="AB5" s="36" t="s">
        <v>160</v>
      </c>
      <c r="AC5" s="37" t="s">
        <v>12</v>
      </c>
      <c r="AE5" s="3" t="s">
        <v>9</v>
      </c>
      <c r="AF5" s="35" t="s">
        <v>10</v>
      </c>
      <c r="AG5" s="36" t="s">
        <v>160</v>
      </c>
      <c r="AH5" s="37" t="s">
        <v>12</v>
      </c>
    </row>
    <row r="6" spans="1:34">
      <c r="A6" s="2">
        <v>8</v>
      </c>
      <c r="B6" s="38">
        <f>SUM(Table1173594548515457606366697275[[#Totals],[Total Cost (RM)]]+Table41836124649525558616467707376[[#Totals],[Total Cost (RM)]]+Table1141937414750535659626568717477[[#Totals],[Total Cost (RM)]])</f>
        <v>2.0066666666666664</v>
      </c>
      <c r="C6" s="39">
        <f>A6-B6</f>
        <v>5.9933333333333341</v>
      </c>
      <c r="D6" s="40">
        <f>(C6/A6)*100</f>
        <v>74.916666666666671</v>
      </c>
      <c r="F6" s="2">
        <v>10</v>
      </c>
      <c r="G6" s="38">
        <f>SUM(Table11735945485154576063666972[[#Totals],[Total Cost (RM)]]+Table418361246495255586164677073[[#Totals],[Total Cost (RM)]]+Table11419374147505356596265687174[[#Totals],[Total Cost (RM)]],I13,I17)</f>
        <v>4.2788030303030302</v>
      </c>
      <c r="H6" s="39">
        <f>F6-G6</f>
        <v>5.7211969696969698</v>
      </c>
      <c r="I6" s="40">
        <f>(H6/F6)*100</f>
        <v>57.211969696969703</v>
      </c>
      <c r="K6" s="2">
        <v>10</v>
      </c>
      <c r="L6" s="38">
        <f>SUM(Table11735945485154576063666972[[#Totals],[Total Cost (RM)]]+Table418361246495255586164677073[[#Totals],[Total Cost (RM)]]+Table11419374147505356596265687174[[#Totals],[Total Cost (RM)]],N13,N17)</f>
        <v>3.8388076358296623</v>
      </c>
      <c r="M6" s="39">
        <f>K6-L6</f>
        <v>6.1611923641703381</v>
      </c>
      <c r="N6" s="40">
        <f>(M6/K6)*100</f>
        <v>61.611923641703385</v>
      </c>
      <c r="P6" s="2">
        <v>10</v>
      </c>
      <c r="Q6" s="38">
        <f>SUM(Table11735945485154576063666972[[#Totals],[Total Cost (RM)]]+Table418361246495255586164677073[[#Totals],[Total Cost (RM)]]+Table11419374147505356596265687174[[#Totals],[Total Cost (RM)]],S13,S17)</f>
        <v>3.8826666666666667</v>
      </c>
      <c r="R6" s="39">
        <f>P6-Q6</f>
        <v>6.1173333333333328</v>
      </c>
      <c r="S6" s="40">
        <f>(R6/P6)*100</f>
        <v>61.173333333333325</v>
      </c>
      <c r="U6" s="2">
        <v>10</v>
      </c>
      <c r="V6" s="38">
        <f>SUM(Table11735945485154576063666972[[#Totals],[Total Cost (RM)]]+Table418361246495255586164677073[[#Totals],[Total Cost (RM)]]+Table11419374147505356596265687174[[#Totals],[Total Cost (RM)]],X13,X17)</f>
        <v>4.9036666666666662</v>
      </c>
      <c r="W6" s="39">
        <f>U6-V6</f>
        <v>5.0963333333333338</v>
      </c>
      <c r="X6" s="40">
        <f>(W6/U6)*100</f>
        <v>50.963333333333338</v>
      </c>
      <c r="Z6" s="2">
        <v>10</v>
      </c>
      <c r="AA6" s="38">
        <f>SUM(Table11735945485154576063666972[[#Totals],[Total Cost (RM)]]+Table418361246495255586164677073[[#Totals],[Total Cost (RM)]]+Table11419374147505356596265687174[[#Totals],[Total Cost (RM)]],AC13,AC17)</f>
        <v>3.6288076358296624</v>
      </c>
      <c r="AB6" s="39">
        <f>Z6-AA6</f>
        <v>6.3711923641703372</v>
      </c>
      <c r="AC6" s="40">
        <f>(AB6/Z6)*100</f>
        <v>63.711923641703372</v>
      </c>
      <c r="AE6" s="2">
        <v>10</v>
      </c>
      <c r="AF6" s="38">
        <f>SUM(Table11735945485154576063666972[[#Totals],[Total Cost (RM)]]+Table418361246495255586164677073[[#Totals],[Total Cost (RM)]]+Table11419374147505356596265687174[[#Totals],[Total Cost (RM)]],AH13,AH17)</f>
        <v>3.5203666666666669</v>
      </c>
      <c r="AG6" s="39">
        <f>AE6-AF6</f>
        <v>6.4796333333333331</v>
      </c>
      <c r="AH6" s="40">
        <f>(AG6/AE6)*100</f>
        <v>64.796333333333337</v>
      </c>
    </row>
    <row r="7" spans="1:34">
      <c r="D7" s="41"/>
    </row>
    <row r="8" spans="1:34">
      <c r="A8" s="1" t="s">
        <v>98</v>
      </c>
    </row>
    <row r="9" spans="1:34">
      <c r="A9" s="7" t="s">
        <v>7</v>
      </c>
      <c r="B9" s="5" t="s">
        <v>86</v>
      </c>
      <c r="C9" s="13" t="s">
        <v>74</v>
      </c>
      <c r="D9" s="13" t="s">
        <v>10</v>
      </c>
      <c r="F9" s="67" t="s">
        <v>85</v>
      </c>
      <c r="G9" s="67" t="s">
        <v>86</v>
      </c>
      <c r="H9" s="54" t="s">
        <v>189</v>
      </c>
      <c r="I9" s="53" t="s">
        <v>10</v>
      </c>
      <c r="K9" s="67" t="s">
        <v>85</v>
      </c>
      <c r="L9" s="67" t="s">
        <v>86</v>
      </c>
      <c r="M9" s="54" t="s">
        <v>189</v>
      </c>
      <c r="N9" s="53" t="s">
        <v>10</v>
      </c>
      <c r="P9" s="67" t="s">
        <v>85</v>
      </c>
      <c r="Q9" s="67" t="s">
        <v>86</v>
      </c>
      <c r="R9" s="54" t="s">
        <v>189</v>
      </c>
      <c r="S9" s="53" t="s">
        <v>10</v>
      </c>
      <c r="U9" s="67" t="s">
        <v>85</v>
      </c>
      <c r="V9" s="67" t="s">
        <v>86</v>
      </c>
      <c r="W9" s="54" t="s">
        <v>189</v>
      </c>
      <c r="X9" s="53" t="s">
        <v>10</v>
      </c>
      <c r="Z9" s="67" t="s">
        <v>85</v>
      </c>
      <c r="AA9" s="67" t="s">
        <v>86</v>
      </c>
      <c r="AB9" s="54" t="s">
        <v>189</v>
      </c>
      <c r="AC9" s="53" t="s">
        <v>10</v>
      </c>
      <c r="AE9" s="67" t="s">
        <v>85</v>
      </c>
      <c r="AF9" s="67" t="s">
        <v>86</v>
      </c>
      <c r="AG9" s="54" t="s">
        <v>189</v>
      </c>
      <c r="AH9" s="53" t="s">
        <v>10</v>
      </c>
    </row>
    <row r="10" spans="1:34">
      <c r="B10" s="13"/>
      <c r="C10" s="13" t="str">
        <f>IF(A10&lt;&gt;"",VLOOKUP(Table1141937414750535659626568717477[[#This Row],[Name]], MixedIngredientTable[], 4, FALSE),"")</f>
        <v/>
      </c>
      <c r="D10" s="13" t="str">
        <f>IF(Table1141937414750535659626568717477[[#This Row],[Name]]&lt;&gt;"",Table1141937414750535659626568717477[[#This Row],[Quantity]]*Table1141937414750535659626568717477[[#This Row],[Cost Per Unit (RM)]],"")</f>
        <v/>
      </c>
      <c r="F10" s="81" t="s">
        <v>85</v>
      </c>
      <c r="G10" s="82"/>
      <c r="H10" s="82"/>
      <c r="I10" s="83"/>
      <c r="K10" s="81" t="s">
        <v>85</v>
      </c>
      <c r="L10" s="82"/>
      <c r="M10" s="82"/>
      <c r="N10" s="83"/>
      <c r="P10" s="81" t="s">
        <v>85</v>
      </c>
      <c r="Q10" s="82"/>
      <c r="R10" s="82"/>
      <c r="S10" s="83"/>
      <c r="U10" s="81" t="s">
        <v>85</v>
      </c>
      <c r="V10" s="82"/>
      <c r="W10" s="82"/>
      <c r="X10" s="83"/>
      <c r="Z10" s="81" t="s">
        <v>85</v>
      </c>
      <c r="AA10" s="82"/>
      <c r="AB10" s="82"/>
      <c r="AC10" s="83"/>
      <c r="AE10" s="81" t="s">
        <v>85</v>
      </c>
      <c r="AF10" s="82"/>
      <c r="AG10" s="82"/>
      <c r="AH10" s="83"/>
    </row>
    <row r="11" spans="1:34">
      <c r="B11" s="13"/>
      <c r="C11" s="13" t="str">
        <f>IF(A11&lt;&gt;"",VLOOKUP(Table1141937414750535659626568717477[[#This Row],[Name]], MixedIngredientTable[], 4, FALSE),"")</f>
        <v/>
      </c>
      <c r="D11" s="13" t="str">
        <f>IF(Table1141937414750535659626568717477[[#This Row],[Name]]&lt;&gt;"",Table1141937414750535659626568717477[[#This Row],[Quantity]]*Table1141937414750535659626568717477[[#This Row],[Cost Per Unit (RM)]],"")</f>
        <v/>
      </c>
      <c r="F11" s="55" t="s">
        <v>126</v>
      </c>
      <c r="G11" s="56">
        <v>30</v>
      </c>
      <c r="H11" s="56">
        <f>IF(F11&lt;&gt;"",VLOOKUP(F11, IngredientTable[], 6, FALSE),"")</f>
        <v>4.7249999999999993E-2</v>
      </c>
      <c r="I11" s="56">
        <f>IF(F11&lt;&gt;"",G11*H11,"")</f>
        <v>1.4174999999999998</v>
      </c>
      <c r="K11" s="55" t="s">
        <v>124</v>
      </c>
      <c r="L11" s="56">
        <v>30</v>
      </c>
      <c r="M11" s="56">
        <f>IF(K11&lt;&gt;"",VLOOKUP(K11, IngredientTable[], 6, FALSE),"")</f>
        <v>3.49E-2</v>
      </c>
      <c r="N11" s="56">
        <f>IF(K11&lt;&gt;"",L11*M11,"")</f>
        <v>1.0469999999999999</v>
      </c>
      <c r="P11" s="55" t="s">
        <v>125</v>
      </c>
      <c r="Q11" s="56">
        <v>30</v>
      </c>
      <c r="R11" s="56">
        <f>IF(P11&lt;&gt;"",VLOOKUP(P11, IngredientTable[], 6, FALSE),"")</f>
        <v>4.3200000000000002E-2</v>
      </c>
      <c r="S11" s="56">
        <f>IF(P11&lt;&gt;"",Q11*R11,"")</f>
        <v>1.296</v>
      </c>
      <c r="U11" s="55" t="s">
        <v>127</v>
      </c>
      <c r="V11" s="56">
        <v>30</v>
      </c>
      <c r="W11" s="56">
        <f>IF(U11&lt;&gt;"",VLOOKUP(U11, IngredientTable[], 6, FALSE),"")</f>
        <v>7.1900000000000006E-2</v>
      </c>
      <c r="X11" s="56">
        <f>IF(U11&lt;&gt;"",V11*W11,"")</f>
        <v>2.157</v>
      </c>
      <c r="Z11" s="55" t="s">
        <v>123</v>
      </c>
      <c r="AA11" s="56">
        <v>30</v>
      </c>
      <c r="AB11" s="56">
        <f>IF(Z11&lt;&gt;"",VLOOKUP(Z11, IngredientTable[], 6, FALSE),"")</f>
        <v>2.7899999999999998E-2</v>
      </c>
      <c r="AC11" s="56">
        <f>IF(Z11&lt;&gt;"",AA11*AB11,"")</f>
        <v>0.83699999999999997</v>
      </c>
      <c r="AE11" s="55" t="s">
        <v>129</v>
      </c>
      <c r="AF11" s="56">
        <v>30</v>
      </c>
      <c r="AG11" s="56">
        <f>IF(AE11&lt;&gt;"",VLOOKUP(AE11, IngredientTable[], 6, FALSE),"")</f>
        <v>1.609E-2</v>
      </c>
      <c r="AH11" s="56">
        <f>IF(AE11&lt;&gt;"",AF11*AG11,"")</f>
        <v>0.48270000000000002</v>
      </c>
    </row>
    <row r="12" spans="1:34">
      <c r="D12" s="13">
        <f>SUM(Table1141937414750535659626568717477[Total Cost (RM)])</f>
        <v>0</v>
      </c>
      <c r="F12" s="57" t="s">
        <v>120</v>
      </c>
      <c r="G12" s="58">
        <v>10</v>
      </c>
      <c r="H12" s="58">
        <f>IF(F12&lt;&gt;"",VLOOKUP(F12, IngredientTable[], 6, FALSE),"")</f>
        <v>3.5363636363636361E-2</v>
      </c>
      <c r="I12" s="58">
        <f>IF(F12&lt;&gt;"",G12*H12,"")</f>
        <v>0.35363636363636364</v>
      </c>
      <c r="K12" s="57" t="s">
        <v>121</v>
      </c>
      <c r="L12" s="58">
        <v>10</v>
      </c>
      <c r="M12" s="58">
        <f>IF(K12&lt;&gt;"",VLOOKUP(K12, IngredientTable[], 6, FALSE),"")</f>
        <v>2.841409691629956E-2</v>
      </c>
      <c r="N12" s="58">
        <f>IF(K12&lt;&gt;"",L12*M12,"")</f>
        <v>0.28414096916299558</v>
      </c>
      <c r="P12" s="57" t="s">
        <v>67</v>
      </c>
      <c r="Q12" s="58">
        <v>10</v>
      </c>
      <c r="R12" s="58">
        <f>IF(P12&lt;&gt;"",VLOOKUP(P12, IngredientTable[], 6, FALSE),"")</f>
        <v>7.9000000000000008E-3</v>
      </c>
      <c r="S12" s="58">
        <f>IF(P12&lt;&gt;"",Q12*R12,"")</f>
        <v>7.9000000000000015E-2</v>
      </c>
      <c r="U12" s="57" t="s">
        <v>62</v>
      </c>
      <c r="V12" s="58">
        <v>10</v>
      </c>
      <c r="W12" s="58">
        <f>IF(U12&lt;&gt;"",VLOOKUP(U12, IngredientTable[], 6, FALSE),"")</f>
        <v>2.3899999999999998E-2</v>
      </c>
      <c r="X12" s="58">
        <f>IF(U12&lt;&gt;"",V12*W12,"")</f>
        <v>0.23899999999999999</v>
      </c>
      <c r="Z12" s="57" t="s">
        <v>122</v>
      </c>
      <c r="AA12" s="58">
        <v>10</v>
      </c>
      <c r="AB12" s="58">
        <f>IF(Z12&lt;&gt;"",VLOOKUP(Z12, IngredientTable[], 6, FALSE),"")</f>
        <v>2.841409691629956E-2</v>
      </c>
      <c r="AC12" s="58">
        <f>IF(Z12&lt;&gt;"",AA12*AB12,"")</f>
        <v>0.28414096916299558</v>
      </c>
      <c r="AE12" s="57" t="s">
        <v>128</v>
      </c>
      <c r="AF12" s="58">
        <v>10</v>
      </c>
      <c r="AG12" s="58">
        <f>IF(AE12&lt;&gt;"",VLOOKUP(AE12, IngredientTable[], 6, FALSE),"")</f>
        <v>5.2999999999999999E-2</v>
      </c>
      <c r="AH12" s="58">
        <f>IF(AE12&lt;&gt;"",AF12*AG12,"")</f>
        <v>0.53</v>
      </c>
    </row>
    <row r="13" spans="1:34">
      <c r="F13" s="59" t="s">
        <v>190</v>
      </c>
      <c r="G13" s="60"/>
      <c r="H13" s="60"/>
      <c r="I13" s="61">
        <f>SUM(I11:I12)</f>
        <v>1.7711363636363635</v>
      </c>
      <c r="K13" s="59" t="s">
        <v>190</v>
      </c>
      <c r="L13" s="60"/>
      <c r="M13" s="60"/>
      <c r="N13" s="61">
        <f>SUM(N11:N12)</f>
        <v>1.3311409691629956</v>
      </c>
      <c r="P13" s="59" t="s">
        <v>190</v>
      </c>
      <c r="Q13" s="60"/>
      <c r="R13" s="60"/>
      <c r="S13" s="61">
        <f>SUM(S11:S12)</f>
        <v>1.375</v>
      </c>
      <c r="U13" s="59" t="s">
        <v>190</v>
      </c>
      <c r="V13" s="60"/>
      <c r="W13" s="60"/>
      <c r="X13" s="61">
        <f>SUM(X11:X12)</f>
        <v>2.3959999999999999</v>
      </c>
      <c r="Z13" s="59" t="s">
        <v>190</v>
      </c>
      <c r="AA13" s="60"/>
      <c r="AB13" s="60"/>
      <c r="AC13" s="61">
        <f>SUM(AC11:AC12)</f>
        <v>1.1211409691629957</v>
      </c>
      <c r="AE13" s="59" t="s">
        <v>190</v>
      </c>
      <c r="AF13" s="60"/>
      <c r="AG13" s="60"/>
      <c r="AH13" s="61">
        <f>SUM(AH11:AH12)</f>
        <v>1.0127000000000002</v>
      </c>
    </row>
    <row r="14" spans="1:34">
      <c r="A14" s="1" t="s">
        <v>85</v>
      </c>
      <c r="F14" s="84" t="s">
        <v>98</v>
      </c>
      <c r="G14" s="85"/>
      <c r="H14" s="85"/>
      <c r="I14" s="86"/>
      <c r="K14" s="84" t="s">
        <v>98</v>
      </c>
      <c r="L14" s="85"/>
      <c r="M14" s="85"/>
      <c r="N14" s="86"/>
      <c r="P14" s="84" t="s">
        <v>98</v>
      </c>
      <c r="Q14" s="85"/>
      <c r="R14" s="85"/>
      <c r="S14" s="86"/>
      <c r="U14" s="84" t="s">
        <v>98</v>
      </c>
      <c r="V14" s="85"/>
      <c r="W14" s="85"/>
      <c r="X14" s="86"/>
      <c r="Z14" s="84" t="s">
        <v>98</v>
      </c>
      <c r="AA14" s="85"/>
      <c r="AB14" s="85"/>
      <c r="AC14" s="86"/>
      <c r="AE14" s="84" t="s">
        <v>98</v>
      </c>
      <c r="AF14" s="85"/>
      <c r="AG14" s="85"/>
      <c r="AH14" s="86"/>
    </row>
    <row r="15" spans="1:34">
      <c r="A15" s="7" t="s">
        <v>7</v>
      </c>
      <c r="B15" s="5" t="s">
        <v>86</v>
      </c>
      <c r="C15" s="13" t="s">
        <v>74</v>
      </c>
      <c r="D15" s="13" t="s">
        <v>10</v>
      </c>
      <c r="F15" s="55"/>
      <c r="G15" s="62"/>
      <c r="H15" s="62" t="str">
        <f>IF(F15&lt;&gt;"",VLOOKUP(F15, MixedIngredientTable[], 4, FALSE),"")</f>
        <v/>
      </c>
      <c r="I15" s="62" t="str">
        <f>IF(F15&lt;&gt;"",G15*H15,"")</f>
        <v/>
      </c>
      <c r="K15" s="55"/>
      <c r="L15" s="62"/>
      <c r="M15" s="62" t="str">
        <f>IF(K15&lt;&gt;"",VLOOKUP(K15, MixedIngredientTable[], 4, FALSE),"")</f>
        <v/>
      </c>
      <c r="N15" s="62" t="str">
        <f>IF(K15&lt;&gt;"",L15*M15,"")</f>
        <v/>
      </c>
      <c r="P15" s="55"/>
      <c r="Q15" s="62"/>
      <c r="R15" s="62" t="str">
        <f>IF(P15&lt;&gt;"",VLOOKUP(P15, MixedIngredientTable[], 4, FALSE),"")</f>
        <v/>
      </c>
      <c r="S15" s="62" t="str">
        <f>IF(P15&lt;&gt;"",Q15*R15,"")</f>
        <v/>
      </c>
      <c r="U15" s="55"/>
      <c r="V15" s="62"/>
      <c r="W15" s="62" t="str">
        <f>IF(U15&lt;&gt;"",VLOOKUP(U15, MixedIngredientTable[], 4, FALSE),"")</f>
        <v/>
      </c>
      <c r="X15" s="62" t="str">
        <f>IF(U15&lt;&gt;"",V15*W15,"")</f>
        <v/>
      </c>
      <c r="Z15" s="55"/>
      <c r="AA15" s="62"/>
      <c r="AB15" s="62" t="str">
        <f>IF(Z15&lt;&gt;"",VLOOKUP(Z15, MixedIngredientTable[], 4, FALSE),"")</f>
        <v/>
      </c>
      <c r="AC15" s="62" t="str">
        <f>IF(Z15&lt;&gt;"",AA15*AB15,"")</f>
        <v/>
      </c>
      <c r="AE15" s="55"/>
      <c r="AF15" s="62"/>
      <c r="AG15" s="62" t="str">
        <f>IF(AE15&lt;&gt;"",VLOOKUP(AE15, MixedIngredientTable[], 4, FALSE),"")</f>
        <v/>
      </c>
      <c r="AH15" s="62" t="str">
        <f>IF(AE15&lt;&gt;"",AF15*AG15,"")</f>
        <v/>
      </c>
    </row>
    <row r="16" spans="1:34">
      <c r="A16" t="s">
        <v>119</v>
      </c>
      <c r="B16">
        <v>10</v>
      </c>
      <c r="C16">
        <f>IF(A16&lt;&gt;"",VLOOKUP(Table1173594548515457606366697275[[#This Row],[Name]], IngredientTable[], 6, FALSE),"")</f>
        <v>0.16666666666666666</v>
      </c>
      <c r="D16">
        <f>IF(Table1173594548515457606366697275[[#This Row],[Name]]&lt;&gt;"",Table1173594548515457606366697275[[#This Row],[Quantity]]*Table1173594548515457606366697275[[#This Row],[Cost Per Unit (RM)]],"")</f>
        <v>1.6666666666666665</v>
      </c>
      <c r="F16" s="63"/>
      <c r="G16" s="64"/>
      <c r="H16" s="64" t="str">
        <f>IF(F16&lt;&gt;"",VLOOKUP(F16, MixedIngredientTable[], 4, FALSE),"")</f>
        <v/>
      </c>
      <c r="I16" s="65" t="str">
        <f>IF(F16&lt;&gt;"",G16*H16,"")</f>
        <v/>
      </c>
      <c r="K16" s="63"/>
      <c r="L16" s="64"/>
      <c r="M16" s="64" t="str">
        <f>IF(K16&lt;&gt;"",VLOOKUP(K16, MixedIngredientTable[], 4, FALSE),"")</f>
        <v/>
      </c>
      <c r="N16" s="65" t="str">
        <f>IF(K16&lt;&gt;"",L16*M16,"")</f>
        <v/>
      </c>
      <c r="P16" s="63"/>
      <c r="Q16" s="64"/>
      <c r="R16" s="64" t="str">
        <f>IF(P16&lt;&gt;"",VLOOKUP(P16, MixedIngredientTable[], 4, FALSE),"")</f>
        <v/>
      </c>
      <c r="S16" s="65" t="str">
        <f>IF(P16&lt;&gt;"",Q16*R16,"")</f>
        <v/>
      </c>
      <c r="U16" s="63"/>
      <c r="V16" s="64"/>
      <c r="W16" s="64" t="str">
        <f>IF(U16&lt;&gt;"",VLOOKUP(U16, MixedIngredientTable[], 4, FALSE),"")</f>
        <v/>
      </c>
      <c r="X16" s="65" t="str">
        <f>IF(U16&lt;&gt;"",V16*W16,"")</f>
        <v/>
      </c>
      <c r="Z16" s="63"/>
      <c r="AA16" s="64"/>
      <c r="AB16" s="64" t="str">
        <f>IF(Z16&lt;&gt;"",VLOOKUP(Z16, MixedIngredientTable[], 4, FALSE),"")</f>
        <v/>
      </c>
      <c r="AC16" s="65" t="str">
        <f>IF(Z16&lt;&gt;"",AA16*AB16,"")</f>
        <v/>
      </c>
      <c r="AE16" s="63"/>
      <c r="AF16" s="64"/>
      <c r="AG16" s="64" t="str">
        <f>IF(AE16&lt;&gt;"",VLOOKUP(AE16, MixedIngredientTable[], 4, FALSE),"")</f>
        <v/>
      </c>
      <c r="AH16" s="65" t="str">
        <f>IF(AE16&lt;&gt;"",AF16*AG16,"")</f>
        <v/>
      </c>
    </row>
    <row r="17" spans="1:34">
      <c r="C17" t="str">
        <f>IF(A17&lt;&gt;"",VLOOKUP(Table1173594548515457606366697275[[#This Row],[Name]], IngredientTable[], 6, FALSE),"")</f>
        <v/>
      </c>
      <c r="D17" t="str">
        <f>IF(Table1173594548515457606366697275[[#This Row],[Name]]&lt;&gt;"",Table1173594548515457606366697275[[#This Row],[Quantity]]*Table1173594548515457606366697275[[#This Row],[Cost Per Unit (RM)]],"")</f>
        <v/>
      </c>
      <c r="F17" s="59" t="s">
        <v>190</v>
      </c>
      <c r="G17" s="60"/>
      <c r="H17" s="60"/>
      <c r="I17" s="66">
        <f>SUM(I15:I16)</f>
        <v>0</v>
      </c>
      <c r="K17" s="59" t="s">
        <v>190</v>
      </c>
      <c r="L17" s="60"/>
      <c r="M17" s="60"/>
      <c r="N17" s="66">
        <f>SUM(N15:N16)</f>
        <v>0</v>
      </c>
      <c r="P17" s="59" t="s">
        <v>190</v>
      </c>
      <c r="Q17" s="60"/>
      <c r="R17" s="60"/>
      <c r="S17" s="66">
        <f>SUM(S15:S16)</f>
        <v>0</v>
      </c>
      <c r="U17" s="59" t="s">
        <v>190</v>
      </c>
      <c r="V17" s="60"/>
      <c r="W17" s="60"/>
      <c r="X17" s="66">
        <f>SUM(X15:X16)</f>
        <v>0</v>
      </c>
      <c r="Z17" s="59" t="s">
        <v>190</v>
      </c>
      <c r="AA17" s="60"/>
      <c r="AB17" s="60"/>
      <c r="AC17" s="66">
        <f>SUM(AC15:AC16)</f>
        <v>0</v>
      </c>
      <c r="AE17" s="59" t="s">
        <v>190</v>
      </c>
      <c r="AF17" s="60"/>
      <c r="AG17" s="60"/>
      <c r="AH17" s="66">
        <f>SUM(AH15:AH16)</f>
        <v>0</v>
      </c>
    </row>
    <row r="18" spans="1:34">
      <c r="C18" t="str">
        <f>IF(A18&lt;&gt;"",VLOOKUP(Table1173594548515457606366697275[[#This Row],[Name]], IngredientTable[], 6, FALSE),"")</f>
        <v/>
      </c>
      <c r="D18" t="str">
        <f>IF(Table1173594548515457606366697275[[#This Row],[Name]]&lt;&gt;"",Table1173594548515457606366697275[[#This Row],[Quantity]]*Table1173594548515457606366697275[[#This Row],[Cost Per Unit (RM)]],"")</f>
        <v/>
      </c>
    </row>
    <row r="19" spans="1:34">
      <c r="D19" s="13">
        <f>SUM(Table1173594548515457606366697275[Total Cost (RM)])</f>
        <v>1.6666666666666665</v>
      </c>
    </row>
    <row r="20" spans="1:34">
      <c r="A20" s="1" t="s">
        <v>161</v>
      </c>
    </row>
    <row r="21" spans="1:34">
      <c r="A21" s="7" t="s">
        <v>7</v>
      </c>
      <c r="B21" s="5" t="s">
        <v>86</v>
      </c>
      <c r="C21" s="13" t="s">
        <v>74</v>
      </c>
      <c r="D21" s="13" t="s">
        <v>10</v>
      </c>
    </row>
    <row r="22" spans="1:34">
      <c r="A22" s="17" t="s">
        <v>149</v>
      </c>
      <c r="B22" s="18">
        <v>1</v>
      </c>
      <c r="C22" s="18">
        <f>IF(A22&lt;&gt;"",VLOOKUP(Table41836124649525558616467707376[[#This Row],[Name]], PackagingTable[], 6, FALSE),"")</f>
        <v>0.19800000000000001</v>
      </c>
      <c r="D22" s="18">
        <f>IF(Table41836124649525558616467707376[[#This Row],[Name]]&lt;&gt;"",Table41836124649525558616467707376[[#This Row],[Quantity]]*Table41836124649525558616467707376[[#This Row],[Cost Per Unit (RM)]],"")</f>
        <v>0.19800000000000001</v>
      </c>
    </row>
    <row r="23" spans="1:34">
      <c r="A23" s="17" t="s">
        <v>150</v>
      </c>
      <c r="B23" s="18">
        <v>1</v>
      </c>
      <c r="C23" s="18">
        <f>IF(A23&lt;&gt;"",VLOOKUP(Table41836124649525558616467707376[[#This Row],[Name]], PackagingTable[], 6, FALSE),"")</f>
        <v>0.11</v>
      </c>
      <c r="D23" s="18">
        <f>IF(Table41836124649525558616467707376[[#This Row],[Name]]&lt;&gt;"",Table41836124649525558616467707376[[#This Row],[Quantity]]*Table41836124649525558616467707376[[#This Row],[Cost Per Unit (RM)]],"")</f>
        <v>0.11</v>
      </c>
    </row>
    <row r="24" spans="1:34">
      <c r="A24" s="17" t="s">
        <v>151</v>
      </c>
      <c r="B24" s="18">
        <v>1</v>
      </c>
      <c r="C24" s="18">
        <f>IF(A24&lt;&gt;"",VLOOKUP(Table41836124649525558616467707376[[#This Row],[Name]], PackagingTable[], 6, FALSE),"")</f>
        <v>3.2000000000000001E-2</v>
      </c>
      <c r="D24" s="18">
        <f>IF(Table41836124649525558616467707376[[#This Row],[Name]]&lt;&gt;"",Table41836124649525558616467707376[[#This Row],[Quantity]]*Table41836124649525558616467707376[[#This Row],[Cost Per Unit (RM)]],"")</f>
        <v>3.2000000000000001E-2</v>
      </c>
    </row>
    <row r="25" spans="1:34">
      <c r="B25" s="13"/>
      <c r="C25" s="13"/>
      <c r="D25" s="13">
        <f>SUM(Table41836124649525558616467707376[Total Cost (RM)])</f>
        <v>0.33999999999999997</v>
      </c>
    </row>
  </sheetData>
  <mergeCells count="12">
    <mergeCell ref="U10:X10"/>
    <mergeCell ref="U14:X14"/>
    <mergeCell ref="Z10:AC10"/>
    <mergeCell ref="Z14:AC14"/>
    <mergeCell ref="AE10:AH10"/>
    <mergeCell ref="AE14:AH14"/>
    <mergeCell ref="F10:I10"/>
    <mergeCell ref="F14:I14"/>
    <mergeCell ref="K10:N10"/>
    <mergeCell ref="K14:N14"/>
    <mergeCell ref="P10:S10"/>
    <mergeCell ref="P14:S14"/>
  </mergeCells>
  <dataValidations count="4">
    <dataValidation type="list" allowBlank="1" showInputMessage="1" showErrorMessage="1" sqref="A16:A18 F11:F12 K11:K12 P11:P12 U11:U12 Z11:Z12 AE11:AE12" xr:uid="{12EEAB02-6A09-4C3E-A20D-DF0BA37413D9}">
      <formula1>INDIRECT("IngredientTable[Name]")</formula1>
    </dataValidation>
    <dataValidation type="list" allowBlank="1" showInputMessage="1" showErrorMessage="1" sqref="A10:A11 F15:F16 K15:K16 P15:P16 U15:U16 Z15:Z16 AE15:AE16" xr:uid="{BC8B2951-404E-4ED7-AC1F-7226E58A92E9}">
      <formula1>INDIRECT("MixedIngredientTable[Name]")</formula1>
    </dataValidation>
    <dataValidation type="list" allowBlank="1" showInputMessage="1" showErrorMessage="1" sqref="A22:A24" xr:uid="{70560D89-1003-4BCD-9A16-5EAEE899C673}">
      <formula1>INDIRECT("PackagingTable[Name]")</formula1>
    </dataValidation>
    <dataValidation allowBlank="1" showInputMessage="1" showErrorMessage="1" sqref="F13 I13 F17 I17 K13 N13 K17 N17 P13 S13 P17 S17 U13 X13 U17 X17 Z13 AC13 Z17 AC17 AE13 AH13 AE17 AH17" xr:uid="{7546692E-5A8C-4916-91F6-675C4DC08D76}"/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E0B3-8C02-47F0-B4C4-DADDEDCECE64}">
  <sheetPr>
    <tabColor theme="8" tint="0.39997558519241921"/>
  </sheetPr>
  <dimension ref="A1:AM25"/>
  <sheetViews>
    <sheetView topLeftCell="E1" workbookViewId="0">
      <selection activeCell="F7" sqref="F7"/>
    </sheetView>
  </sheetViews>
  <sheetFormatPr defaultColWidth="11" defaultRowHeight="15.75"/>
  <cols>
    <col min="1" max="1" width="17.625" bestFit="1" customWidth="1"/>
    <col min="2" max="2" width="13.75" bestFit="1" customWidth="1"/>
    <col min="3" max="3" width="17.75" bestFit="1" customWidth="1"/>
    <col min="4" max="4" width="15.25" bestFit="1" customWidth="1"/>
    <col min="5" max="5" width="9"/>
    <col min="6" max="6" width="15.25" bestFit="1" customWidth="1"/>
    <col min="7" max="7" width="13.25" bestFit="1" customWidth="1"/>
    <col min="8" max="8" width="13.875" bestFit="1" customWidth="1"/>
    <col min="9" max="9" width="14.375" bestFit="1" customWidth="1"/>
    <col min="10" max="10" width="9"/>
    <col min="11" max="11" width="15.25" bestFit="1" customWidth="1"/>
    <col min="12" max="12" width="13.25" bestFit="1" customWidth="1"/>
    <col min="13" max="13" width="13.875" bestFit="1" customWidth="1"/>
    <col min="14" max="14" width="14.375" bestFit="1" customWidth="1"/>
    <col min="15" max="15" width="9"/>
    <col min="16" max="16" width="15.25" bestFit="1" customWidth="1"/>
    <col min="17" max="17" width="13.25" bestFit="1" customWidth="1"/>
    <col min="18" max="18" width="13.875" bestFit="1" customWidth="1"/>
    <col min="19" max="19" width="14.375" bestFit="1" customWidth="1"/>
    <col min="20" max="20" width="9"/>
    <col min="21" max="21" width="15.25" bestFit="1" customWidth="1"/>
    <col min="22" max="22" width="14" bestFit="1" customWidth="1"/>
    <col min="23" max="23" width="13.875" bestFit="1" customWidth="1"/>
    <col min="24" max="24" width="14.375" bestFit="1" customWidth="1"/>
    <col min="25" max="25" width="9"/>
    <col min="26" max="26" width="15.25" bestFit="1" customWidth="1"/>
    <col min="27" max="27" width="13.25" bestFit="1" customWidth="1"/>
    <col min="28" max="28" width="13.875" bestFit="1" customWidth="1"/>
    <col min="29" max="29" width="14.375" bestFit="1" customWidth="1"/>
    <col min="30" max="30" width="9"/>
    <col min="31" max="31" width="15.375" bestFit="1" customWidth="1"/>
    <col min="32" max="32" width="13.25" bestFit="1" customWidth="1"/>
    <col min="33" max="33" width="13.875" bestFit="1" customWidth="1"/>
    <col min="34" max="34" width="14.375" bestFit="1" customWidth="1"/>
    <col min="36" max="36" width="15.375" bestFit="1" customWidth="1"/>
    <col min="37" max="37" width="13.25" bestFit="1" customWidth="1"/>
    <col min="38" max="38" width="13.875" bestFit="1" customWidth="1"/>
    <col min="39" max="39" width="14.375" bestFit="1" customWidth="1"/>
  </cols>
  <sheetData>
    <row r="1" spans="1:39" ht="16.5">
      <c r="A1" s="1" t="s">
        <v>158</v>
      </c>
      <c r="B1" s="1" t="s">
        <v>202</v>
      </c>
    </row>
    <row r="2" spans="1:39" ht="16.5">
      <c r="A2" s="1" t="s">
        <v>83</v>
      </c>
      <c r="B2" s="8" t="s">
        <v>203</v>
      </c>
    </row>
    <row r="4" spans="1:39">
      <c r="A4" s="1" t="s">
        <v>84</v>
      </c>
      <c r="F4" s="8" t="s">
        <v>186</v>
      </c>
      <c r="G4" s="8" t="s">
        <v>204</v>
      </c>
      <c r="K4" s="8" t="s">
        <v>186</v>
      </c>
      <c r="L4" s="8" t="s">
        <v>205</v>
      </c>
      <c r="P4" s="8" t="s">
        <v>186</v>
      </c>
      <c r="Q4" s="8" t="s">
        <v>206</v>
      </c>
      <c r="U4" s="8" t="s">
        <v>186</v>
      </c>
      <c r="V4" s="8" t="s">
        <v>207</v>
      </c>
      <c r="Z4" s="8" t="s">
        <v>186</v>
      </c>
      <c r="AA4" s="8" t="s">
        <v>208</v>
      </c>
      <c r="AE4" s="8" t="s">
        <v>186</v>
      </c>
      <c r="AF4" s="8" t="s">
        <v>209</v>
      </c>
      <c r="AJ4" s="8" t="s">
        <v>186</v>
      </c>
      <c r="AK4" s="8" t="s">
        <v>210</v>
      </c>
    </row>
    <row r="5" spans="1:39">
      <c r="A5" s="3" t="s">
        <v>9</v>
      </c>
      <c r="B5" s="35" t="s">
        <v>10</v>
      </c>
      <c r="C5" s="36" t="s">
        <v>160</v>
      </c>
      <c r="D5" s="37" t="s">
        <v>12</v>
      </c>
      <c r="F5" s="3" t="s">
        <v>9</v>
      </c>
      <c r="G5" s="35" t="s">
        <v>10</v>
      </c>
      <c r="H5" s="36" t="s">
        <v>160</v>
      </c>
      <c r="I5" s="37" t="s">
        <v>12</v>
      </c>
      <c r="K5" s="3" t="s">
        <v>9</v>
      </c>
      <c r="L5" s="35" t="s">
        <v>10</v>
      </c>
      <c r="M5" s="36" t="s">
        <v>160</v>
      </c>
      <c r="N5" s="37" t="s">
        <v>12</v>
      </c>
      <c r="P5" s="3" t="s">
        <v>9</v>
      </c>
      <c r="Q5" s="35" t="s">
        <v>10</v>
      </c>
      <c r="R5" s="36" t="s">
        <v>160</v>
      </c>
      <c r="S5" s="37" t="s">
        <v>12</v>
      </c>
      <c r="U5" s="3" t="s">
        <v>9</v>
      </c>
      <c r="V5" s="35" t="s">
        <v>10</v>
      </c>
      <c r="W5" s="36" t="s">
        <v>160</v>
      </c>
      <c r="X5" s="37" t="s">
        <v>12</v>
      </c>
      <c r="Z5" s="3" t="s">
        <v>9</v>
      </c>
      <c r="AA5" s="35" t="s">
        <v>10</v>
      </c>
      <c r="AB5" s="36" t="s">
        <v>160</v>
      </c>
      <c r="AC5" s="37" t="s">
        <v>12</v>
      </c>
      <c r="AE5" s="3" t="s">
        <v>9</v>
      </c>
      <c r="AF5" s="35" t="s">
        <v>10</v>
      </c>
      <c r="AG5" s="36" t="s">
        <v>160</v>
      </c>
      <c r="AH5" s="37" t="s">
        <v>12</v>
      </c>
      <c r="AJ5" s="3" t="s">
        <v>9</v>
      </c>
      <c r="AK5" s="35" t="s">
        <v>10</v>
      </c>
      <c r="AL5" s="36" t="s">
        <v>160</v>
      </c>
      <c r="AM5" s="37" t="s">
        <v>12</v>
      </c>
    </row>
    <row r="6" spans="1:39">
      <c r="A6" s="2">
        <v>7.9</v>
      </c>
      <c r="B6" s="38">
        <f ca="1">SUM(Table117359454851545760636669727579[[#Totals],[Total Cost (RM)]]+Table4183612464952555861646770737684[[#Totals],[Total Cost (RM)]]+Table114193741475053565962656871747790[[#Totals],[Total Cost (RM)]])</f>
        <v>1.7699199798691496</v>
      </c>
      <c r="C6" s="39">
        <f ca="1">A6-B6</f>
        <v>6.1300800201308512</v>
      </c>
      <c r="D6" s="40">
        <f ca="1">(C6/A6)*100</f>
        <v>77.595949621909512</v>
      </c>
      <c r="F6" s="2">
        <v>9.9</v>
      </c>
      <c r="G6" s="38">
        <f>SUM(Table11735945485154576063666972[[#Totals],[Total Cost (RM)]]+Table418361246495255586164677073[[#Totals],[Total Cost (RM)]]+Table11419374147505356596265687174[[#Totals],[Total Cost (RM)]],I13,I17)</f>
        <v>3.9251666666666667</v>
      </c>
      <c r="H6" s="39">
        <f>F6-G6</f>
        <v>5.9748333333333337</v>
      </c>
      <c r="I6" s="40">
        <f>(H6/F6)*100</f>
        <v>60.351851851851855</v>
      </c>
      <c r="K6" s="2">
        <v>9.9</v>
      </c>
      <c r="L6" s="38">
        <f>SUM(Table11735945485154576063666972[[#Totals],[Total Cost (RM)]]+Table418361246495255586164677073[[#Totals],[Total Cost (RM)]]+Table11419374147505356596265687174[[#Totals],[Total Cost (RM)]],N13,N17)</f>
        <v>3.5546666666666669</v>
      </c>
      <c r="M6" s="39">
        <f>K6-L6</f>
        <v>6.3453333333333335</v>
      </c>
      <c r="N6" s="40">
        <f>(M6/K6)*100</f>
        <v>64.094276094276097</v>
      </c>
      <c r="P6" s="2">
        <v>9.9</v>
      </c>
      <c r="Q6" s="38">
        <f>SUM(Table11735945485154576063666972[[#Totals],[Total Cost (RM)]]+Table418361246495255586164677073[[#Totals],[Total Cost (RM)]]+Table11419374147505356596265687174[[#Totals],[Total Cost (RM)]],S13,S17)</f>
        <v>3.8036666666666665</v>
      </c>
      <c r="R6" s="39">
        <f>P6-Q6</f>
        <v>6.0963333333333338</v>
      </c>
      <c r="S6" s="40">
        <f>(R6/P6)*100</f>
        <v>61.579124579124581</v>
      </c>
      <c r="U6" s="2">
        <v>10.4</v>
      </c>
      <c r="V6" s="38">
        <f>SUM(Table11735945485154576063666972[[#Totals],[Total Cost (RM)]]+Table418361246495255586164677073[[#Totals],[Total Cost (RM)]]+Table11419374147505356596265687174[[#Totals],[Total Cost (RM)]],X13,X17)</f>
        <v>4.6646666666666672</v>
      </c>
      <c r="W6" s="39">
        <f>U6-V6</f>
        <v>5.7353333333333332</v>
      </c>
      <c r="X6" s="40">
        <f>(W6/U6)*100</f>
        <v>55.147435897435891</v>
      </c>
      <c r="Z6" s="2">
        <v>8.9</v>
      </c>
      <c r="AA6" s="38">
        <f>SUM(Table11735945485154576063666972[[#Totals],[Total Cost (RM)]]+Table418361246495255586164677073[[#Totals],[Total Cost (RM)]]+Table11419374147505356596265687174[[#Totals],[Total Cost (RM)]],AC13,AC17)</f>
        <v>2.8406666666666669</v>
      </c>
      <c r="AB6" s="39">
        <f>Z6-AA6</f>
        <v>6.059333333333333</v>
      </c>
      <c r="AC6" s="40">
        <f>(AB6/Z6)*100</f>
        <v>68.082397003745314</v>
      </c>
      <c r="AE6" s="2">
        <v>8.9</v>
      </c>
      <c r="AF6" s="38">
        <f>SUM(Table11735945485154576063666972[[#Totals],[Total Cost (RM)]]+Table418361246495255586164677073[[#Totals],[Total Cost (RM)]]+Table11419374147505356596265687174[[#Totals],[Total Cost (RM)]],AH13,AH17)</f>
        <v>2.8256666666666668</v>
      </c>
      <c r="AG6" s="39">
        <f>AE6-AF6</f>
        <v>6.0743333333333336</v>
      </c>
      <c r="AH6" s="40">
        <f>(AG6/AE6)*100</f>
        <v>68.250936329588015</v>
      </c>
      <c r="AJ6" s="2">
        <v>8.9</v>
      </c>
      <c r="AK6" s="38">
        <f>SUM(Table11735945485154576063666972[[#Totals],[Total Cost (RM)]]+Table418361246495255586164677073[[#Totals],[Total Cost (RM)]]+Table11419374147505356596265687174[[#Totals],[Total Cost (RM)]],AM13,AM17)</f>
        <v>3.0281666666666669</v>
      </c>
      <c r="AL6" s="39">
        <f>AJ6-AK6</f>
        <v>5.871833333333333</v>
      </c>
      <c r="AM6" s="40">
        <f>(AL6/AJ6)*100</f>
        <v>65.975655430711598</v>
      </c>
    </row>
    <row r="7" spans="1:39">
      <c r="D7" s="41"/>
    </row>
    <row r="8" spans="1:39">
      <c r="A8" s="1" t="s">
        <v>98</v>
      </c>
    </row>
    <row r="9" spans="1:39">
      <c r="A9" s="7" t="s">
        <v>7</v>
      </c>
      <c r="B9" s="5" t="s">
        <v>86</v>
      </c>
      <c r="C9" s="13" t="s">
        <v>74</v>
      </c>
      <c r="D9" s="13" t="s">
        <v>10</v>
      </c>
      <c r="F9" s="67" t="s">
        <v>85</v>
      </c>
      <c r="G9" s="67" t="s">
        <v>86</v>
      </c>
      <c r="H9" s="54" t="s">
        <v>189</v>
      </c>
      <c r="I9" s="53" t="s">
        <v>10</v>
      </c>
      <c r="K9" s="67" t="s">
        <v>85</v>
      </c>
      <c r="L9" s="67" t="s">
        <v>86</v>
      </c>
      <c r="M9" s="54" t="s">
        <v>189</v>
      </c>
      <c r="N9" s="53" t="s">
        <v>10</v>
      </c>
      <c r="P9" s="67" t="s">
        <v>85</v>
      </c>
      <c r="Q9" s="67" t="s">
        <v>86</v>
      </c>
      <c r="R9" s="54" t="s">
        <v>189</v>
      </c>
      <c r="S9" s="53" t="s">
        <v>10</v>
      </c>
      <c r="U9" s="67" t="s">
        <v>85</v>
      </c>
      <c r="V9" s="67" t="s">
        <v>86</v>
      </c>
      <c r="W9" s="54" t="s">
        <v>189</v>
      </c>
      <c r="X9" s="53" t="s">
        <v>10</v>
      </c>
      <c r="Z9" s="67" t="s">
        <v>85</v>
      </c>
      <c r="AA9" s="67" t="s">
        <v>86</v>
      </c>
      <c r="AB9" s="54" t="s">
        <v>189</v>
      </c>
      <c r="AC9" s="53" t="s">
        <v>10</v>
      </c>
      <c r="AE9" s="67" t="s">
        <v>85</v>
      </c>
      <c r="AF9" s="67" t="s">
        <v>86</v>
      </c>
      <c r="AG9" s="54" t="s">
        <v>189</v>
      </c>
      <c r="AH9" s="53" t="s">
        <v>10</v>
      </c>
      <c r="AJ9" s="67" t="s">
        <v>85</v>
      </c>
      <c r="AK9" s="67" t="s">
        <v>86</v>
      </c>
      <c r="AL9" s="54" t="s">
        <v>189</v>
      </c>
      <c r="AM9" s="53" t="s">
        <v>10</v>
      </c>
    </row>
    <row r="10" spans="1:39">
      <c r="A10" t="s">
        <v>79</v>
      </c>
      <c r="B10" s="13">
        <v>173</v>
      </c>
      <c r="C10" s="13">
        <f ca="1">IF(A10&lt;&gt;"",VLOOKUP(Table114193741475053565962656871747790[[#This Row],[Name]], MixedIngredientTable[], 4, FALSE),"")</f>
        <v>9.8319073980875707E-3</v>
      </c>
      <c r="D10" s="13">
        <f ca="1">IF(Table114193741475053565962656871747790[[#This Row],[Name]]&lt;&gt;"",Table114193741475053565962656871747790[[#This Row],[Quantity]]*Table114193741475053565962656871747790[[#This Row],[Cost Per Unit (RM)]],"")</f>
        <v>1.7009199798691497</v>
      </c>
      <c r="F10" s="81" t="s">
        <v>85</v>
      </c>
      <c r="G10" s="82"/>
      <c r="H10" s="82"/>
      <c r="I10" s="83"/>
      <c r="K10" s="81" t="s">
        <v>85</v>
      </c>
      <c r="L10" s="82"/>
      <c r="M10" s="82"/>
      <c r="N10" s="83"/>
      <c r="P10" s="81" t="s">
        <v>85</v>
      </c>
      <c r="Q10" s="82"/>
      <c r="R10" s="82"/>
      <c r="S10" s="83"/>
      <c r="U10" s="81" t="s">
        <v>85</v>
      </c>
      <c r="V10" s="82"/>
      <c r="W10" s="82"/>
      <c r="X10" s="83"/>
      <c r="Z10" s="81" t="s">
        <v>85</v>
      </c>
      <c r="AA10" s="82"/>
      <c r="AB10" s="82"/>
      <c r="AC10" s="83"/>
      <c r="AE10" s="81" t="s">
        <v>85</v>
      </c>
      <c r="AF10" s="82"/>
      <c r="AG10" s="82"/>
      <c r="AH10" s="83"/>
      <c r="AJ10" s="81" t="s">
        <v>85</v>
      </c>
      <c r="AK10" s="82"/>
      <c r="AL10" s="82"/>
      <c r="AM10" s="83"/>
    </row>
    <row r="11" spans="1:39">
      <c r="B11" s="13"/>
      <c r="C11" s="13" t="str">
        <f>IF(A11&lt;&gt;"",VLOOKUP(Table114193741475053565962656871747790[[#This Row],[Name]], MixedIngredientTable[], 4, FALSE),"")</f>
        <v/>
      </c>
      <c r="D11" s="13" t="str">
        <f>IF(Table114193741475053565962656871747790[[#This Row],[Name]]&lt;&gt;"",Table114193741475053565962656871747790[[#This Row],[Quantity]]*Table114193741475053565962656871747790[[#This Row],[Cost Per Unit (RM)]],"")</f>
        <v/>
      </c>
      <c r="F11" s="55" t="s">
        <v>126</v>
      </c>
      <c r="G11" s="56">
        <v>30</v>
      </c>
      <c r="H11" s="56">
        <f>IF(F11&lt;&gt;"",VLOOKUP(F11, IngredientTable[], 6, FALSE),"")</f>
        <v>4.7249999999999993E-2</v>
      </c>
      <c r="I11" s="56">
        <f>IF(F11&lt;&gt;"",G11*H11,"")</f>
        <v>1.4174999999999998</v>
      </c>
      <c r="K11" s="55" t="s">
        <v>124</v>
      </c>
      <c r="L11" s="56">
        <v>30</v>
      </c>
      <c r="M11" s="56">
        <f>IF(K11&lt;&gt;"",VLOOKUP(K11, IngredientTable[], 6, FALSE),"")</f>
        <v>3.49E-2</v>
      </c>
      <c r="N11" s="56">
        <f>IF(K11&lt;&gt;"",L11*M11,"")</f>
        <v>1.0469999999999999</v>
      </c>
      <c r="P11" s="55" t="s">
        <v>125</v>
      </c>
      <c r="Q11" s="56">
        <v>30</v>
      </c>
      <c r="R11" s="56">
        <f>IF(P11&lt;&gt;"",VLOOKUP(P11, IngredientTable[], 6, FALSE),"")</f>
        <v>4.3200000000000002E-2</v>
      </c>
      <c r="S11" s="56">
        <f>IF(P11&lt;&gt;"",Q11*R11,"")</f>
        <v>1.296</v>
      </c>
      <c r="U11" s="55" t="s">
        <v>127</v>
      </c>
      <c r="V11" s="56">
        <v>30</v>
      </c>
      <c r="W11" s="56">
        <f>IF(U11&lt;&gt;"",VLOOKUP(U11, IngredientTable[], 6, FALSE),"")</f>
        <v>7.1900000000000006E-2</v>
      </c>
      <c r="X11" s="56">
        <f>IF(U11&lt;&gt;"",V11*W11,"")</f>
        <v>2.157</v>
      </c>
      <c r="Z11" s="55" t="s">
        <v>136</v>
      </c>
      <c r="AA11" s="56">
        <v>30</v>
      </c>
      <c r="AB11" s="56">
        <f>IF(Z11&lt;&gt;"",VLOOKUP(Z11, IngredientTable[], 6, FALSE),"")</f>
        <v>1.11E-2</v>
      </c>
      <c r="AC11" s="56">
        <f>IF(Z11&lt;&gt;"",AA11*AB11,"")</f>
        <v>0.33300000000000002</v>
      </c>
      <c r="AE11" s="55" t="s">
        <v>134</v>
      </c>
      <c r="AF11" s="56">
        <v>30</v>
      </c>
      <c r="AG11" s="56">
        <f>IF(AE11&lt;&gt;"",VLOOKUP(AE11, IngredientTable[], 6, FALSE),"")</f>
        <v>1.06E-2</v>
      </c>
      <c r="AH11" s="56">
        <f>IF(AE11&lt;&gt;"",AF11*AG11,"")</f>
        <v>0.318</v>
      </c>
      <c r="AJ11" s="55" t="s">
        <v>135</v>
      </c>
      <c r="AK11" s="56">
        <v>30</v>
      </c>
      <c r="AL11" s="56">
        <f>IF(AJ11&lt;&gt;"",VLOOKUP(AJ11, IngredientTable[], 6, FALSE),"")</f>
        <v>1.7350000000000001E-2</v>
      </c>
      <c r="AM11" s="56">
        <f>IF(AJ11&lt;&gt;"",AK11*AL11,"")</f>
        <v>0.52050000000000007</v>
      </c>
    </row>
    <row r="12" spans="1:39">
      <c r="D12" s="13">
        <f ca="1">SUM(Table114193741475053565962656871747790[Total Cost (RM)])</f>
        <v>1.7009199798691497</v>
      </c>
      <c r="F12" s="57"/>
      <c r="G12" s="58"/>
      <c r="H12" s="58" t="str">
        <f>IF(F12&lt;&gt;"",VLOOKUP(F12, IngredientTable[], 6, FALSE),"")</f>
        <v/>
      </c>
      <c r="I12" s="58" t="str">
        <f>IF(F12&lt;&gt;"",G12*H12,"")</f>
        <v/>
      </c>
      <c r="K12" s="57"/>
      <c r="L12" s="58"/>
      <c r="M12" s="58" t="str">
        <f>IF(K12&lt;&gt;"",VLOOKUP(K12, IngredientTable[], 6, FALSE),"")</f>
        <v/>
      </c>
      <c r="N12" s="58" t="str">
        <f>IF(K12&lt;&gt;"",L12*M12,"")</f>
        <v/>
      </c>
      <c r="P12" s="57"/>
      <c r="Q12" s="58"/>
      <c r="R12" s="58" t="str">
        <f>IF(P12&lt;&gt;"",VLOOKUP(P12, IngredientTable[], 6, FALSE),"")</f>
        <v/>
      </c>
      <c r="S12" s="58" t="str">
        <f>IF(P12&lt;&gt;"",Q12*R12,"")</f>
        <v/>
      </c>
      <c r="U12" s="57"/>
      <c r="V12" s="58"/>
      <c r="W12" s="58" t="str">
        <f>IF(U12&lt;&gt;"",VLOOKUP(U12, IngredientTable[], 6, FALSE),"")</f>
        <v/>
      </c>
      <c r="X12" s="58" t="str">
        <f>IF(U12&lt;&gt;"",V12*W12,"")</f>
        <v/>
      </c>
      <c r="Z12" s="57"/>
      <c r="AA12" s="58"/>
      <c r="AB12" s="58" t="str">
        <f>IF(Z12&lt;&gt;"",VLOOKUP(Z12, IngredientTable[], 6, FALSE),"")</f>
        <v/>
      </c>
      <c r="AC12" s="58" t="str">
        <f>IF(Z12&lt;&gt;"",AA12*AB12,"")</f>
        <v/>
      </c>
      <c r="AE12" s="57"/>
      <c r="AF12" s="58"/>
      <c r="AG12" s="58" t="str">
        <f>IF(AE12&lt;&gt;"",VLOOKUP(AE12, IngredientTable[], 6, FALSE),"")</f>
        <v/>
      </c>
      <c r="AH12" s="58" t="str">
        <f>IF(AE12&lt;&gt;"",AF12*AG12,"")</f>
        <v/>
      </c>
      <c r="AJ12" s="57"/>
      <c r="AK12" s="58"/>
      <c r="AL12" s="58" t="str">
        <f>IF(AJ12&lt;&gt;"",VLOOKUP(AJ12, IngredientTable[], 6, FALSE),"")</f>
        <v/>
      </c>
      <c r="AM12" s="58" t="str">
        <f>IF(AJ12&lt;&gt;"",AK12*AL12,"")</f>
        <v/>
      </c>
    </row>
    <row r="13" spans="1:39">
      <c r="F13" s="59" t="s">
        <v>190</v>
      </c>
      <c r="G13" s="60"/>
      <c r="H13" s="60"/>
      <c r="I13" s="61">
        <f>SUM(I11:I12)</f>
        <v>1.4174999999999998</v>
      </c>
      <c r="K13" s="59" t="s">
        <v>190</v>
      </c>
      <c r="L13" s="60"/>
      <c r="M13" s="60"/>
      <c r="N13" s="61">
        <f>SUM(N11:N12)</f>
        <v>1.0469999999999999</v>
      </c>
      <c r="P13" s="59" t="s">
        <v>190</v>
      </c>
      <c r="Q13" s="60"/>
      <c r="R13" s="60"/>
      <c r="S13" s="61">
        <f>SUM(S11:S12)</f>
        <v>1.296</v>
      </c>
      <c r="U13" s="59" t="s">
        <v>190</v>
      </c>
      <c r="V13" s="60"/>
      <c r="W13" s="60"/>
      <c r="X13" s="61">
        <f>SUM(X11:X12)</f>
        <v>2.157</v>
      </c>
      <c r="Z13" s="59" t="s">
        <v>190</v>
      </c>
      <c r="AA13" s="60"/>
      <c r="AB13" s="60"/>
      <c r="AC13" s="61">
        <f>SUM(AC11:AC12)</f>
        <v>0.33300000000000002</v>
      </c>
      <c r="AE13" s="59" t="s">
        <v>190</v>
      </c>
      <c r="AF13" s="60"/>
      <c r="AG13" s="60"/>
      <c r="AH13" s="61">
        <f>SUM(AH11:AH12)</f>
        <v>0.318</v>
      </c>
      <c r="AJ13" s="59" t="s">
        <v>190</v>
      </c>
      <c r="AK13" s="60"/>
      <c r="AL13" s="60"/>
      <c r="AM13" s="61">
        <f>SUM(AM11:AM12)</f>
        <v>0.52050000000000007</v>
      </c>
    </row>
    <row r="14" spans="1:39">
      <c r="A14" s="1" t="s">
        <v>85</v>
      </c>
      <c r="F14" s="84" t="s">
        <v>98</v>
      </c>
      <c r="G14" s="85"/>
      <c r="H14" s="85"/>
      <c r="I14" s="86"/>
      <c r="K14" s="84" t="s">
        <v>98</v>
      </c>
      <c r="L14" s="85"/>
      <c r="M14" s="85"/>
      <c r="N14" s="86"/>
      <c r="P14" s="84" t="s">
        <v>98</v>
      </c>
      <c r="Q14" s="85"/>
      <c r="R14" s="85"/>
      <c r="S14" s="86"/>
      <c r="U14" s="84" t="s">
        <v>98</v>
      </c>
      <c r="V14" s="85"/>
      <c r="W14" s="85"/>
      <c r="X14" s="86"/>
      <c r="Z14" s="84" t="s">
        <v>98</v>
      </c>
      <c r="AA14" s="85"/>
      <c r="AB14" s="85"/>
      <c r="AC14" s="86"/>
      <c r="AE14" s="84" t="s">
        <v>98</v>
      </c>
      <c r="AF14" s="85"/>
      <c r="AG14" s="85"/>
      <c r="AH14" s="86"/>
      <c r="AJ14" s="84" t="s">
        <v>98</v>
      </c>
      <c r="AK14" s="85"/>
      <c r="AL14" s="85"/>
      <c r="AM14" s="86"/>
    </row>
    <row r="15" spans="1:39">
      <c r="A15" s="7" t="s">
        <v>7</v>
      </c>
      <c r="B15" s="5" t="s">
        <v>86</v>
      </c>
      <c r="C15" s="13" t="s">
        <v>74</v>
      </c>
      <c r="D15" s="13" t="s">
        <v>10</v>
      </c>
      <c r="F15" s="55"/>
      <c r="G15" s="62"/>
      <c r="H15" s="62" t="str">
        <f>IF(F15&lt;&gt;"",VLOOKUP(F15, MixedIngredientTable[], 4, FALSE),"")</f>
        <v/>
      </c>
      <c r="I15" s="62" t="str">
        <f>IF(F15&lt;&gt;"",G15*H15,"")</f>
        <v/>
      </c>
      <c r="K15" s="55"/>
      <c r="L15" s="62"/>
      <c r="M15" s="62" t="str">
        <f>IF(K15&lt;&gt;"",VLOOKUP(K15, MixedIngredientTable[], 4, FALSE),"")</f>
        <v/>
      </c>
      <c r="N15" s="62" t="str">
        <f>IF(K15&lt;&gt;"",L15*M15,"")</f>
        <v/>
      </c>
      <c r="P15" s="55"/>
      <c r="Q15" s="62"/>
      <c r="R15" s="62" t="str">
        <f>IF(P15&lt;&gt;"",VLOOKUP(P15, MixedIngredientTable[], 4, FALSE),"")</f>
        <v/>
      </c>
      <c r="S15" s="62" t="str">
        <f>IF(P15&lt;&gt;"",Q15*R15,"")</f>
        <v/>
      </c>
      <c r="U15" s="55"/>
      <c r="V15" s="62"/>
      <c r="W15" s="62" t="str">
        <f>IF(U15&lt;&gt;"",VLOOKUP(U15, MixedIngredientTable[], 4, FALSE),"")</f>
        <v/>
      </c>
      <c r="X15" s="62" t="str">
        <f>IF(U15&lt;&gt;"",V15*W15,"")</f>
        <v/>
      </c>
      <c r="Z15" s="55"/>
      <c r="AA15" s="62"/>
      <c r="AB15" s="62" t="str">
        <f>IF(Z15&lt;&gt;"",VLOOKUP(Z15, MixedIngredientTable[], 4, FALSE),"")</f>
        <v/>
      </c>
      <c r="AC15" s="62" t="str">
        <f>IF(Z15&lt;&gt;"",AA15*AB15,"")</f>
        <v/>
      </c>
      <c r="AE15" s="55"/>
      <c r="AF15" s="62"/>
      <c r="AG15" s="62" t="str">
        <f>IF(AE15&lt;&gt;"",VLOOKUP(AE15, MixedIngredientTable[], 4, FALSE),"")</f>
        <v/>
      </c>
      <c r="AH15" s="62" t="str">
        <f>IF(AE15&lt;&gt;"",AF15*AG15,"")</f>
        <v/>
      </c>
      <c r="AJ15" s="55"/>
      <c r="AK15" s="62"/>
      <c r="AL15" s="62" t="str">
        <f>IF(AJ15&lt;&gt;"",VLOOKUP(AJ15, MixedIngredientTable[], 4, FALSE),"")</f>
        <v/>
      </c>
      <c r="AM15" s="62" t="str">
        <f>IF(AJ15&lt;&gt;"",AK15*AL15,"")</f>
        <v/>
      </c>
    </row>
    <row r="16" spans="1:39">
      <c r="C16" t="str">
        <f>IF(A16&lt;&gt;"",VLOOKUP(Table117359454851545760636669727579[[#This Row],[Name]], IngredientTable[], 6, FALSE),"")</f>
        <v/>
      </c>
      <c r="D16" t="str">
        <f>IF(Table117359454851545760636669727579[[#This Row],[Name]]&lt;&gt;"",Table117359454851545760636669727579[[#This Row],[Quantity]]*Table117359454851545760636669727579[[#This Row],[Cost Per Unit (RM)]],"")</f>
        <v/>
      </c>
      <c r="F16" s="63"/>
      <c r="G16" s="64"/>
      <c r="H16" s="64" t="str">
        <f>IF(F16&lt;&gt;"",VLOOKUP(F16, MixedIngredientTable[], 4, FALSE),"")</f>
        <v/>
      </c>
      <c r="I16" s="65" t="str">
        <f>IF(F16&lt;&gt;"",G16*H16,"")</f>
        <v/>
      </c>
      <c r="K16" s="63"/>
      <c r="L16" s="64"/>
      <c r="M16" s="64" t="str">
        <f>IF(K16&lt;&gt;"",VLOOKUP(K16, MixedIngredientTable[], 4, FALSE),"")</f>
        <v/>
      </c>
      <c r="N16" s="65" t="str">
        <f>IF(K16&lt;&gt;"",L16*M16,"")</f>
        <v/>
      </c>
      <c r="P16" s="63"/>
      <c r="Q16" s="64"/>
      <c r="R16" s="64" t="str">
        <f>IF(P16&lt;&gt;"",VLOOKUP(P16, MixedIngredientTable[], 4, FALSE),"")</f>
        <v/>
      </c>
      <c r="S16" s="65" t="str">
        <f>IF(P16&lt;&gt;"",Q16*R16,"")</f>
        <v/>
      </c>
      <c r="U16" s="63"/>
      <c r="V16" s="64"/>
      <c r="W16" s="64" t="str">
        <f>IF(U16&lt;&gt;"",VLOOKUP(U16, MixedIngredientTable[], 4, FALSE),"")</f>
        <v/>
      </c>
      <c r="X16" s="65" t="str">
        <f>IF(U16&lt;&gt;"",V16*W16,"")</f>
        <v/>
      </c>
      <c r="Z16" s="63"/>
      <c r="AA16" s="64"/>
      <c r="AB16" s="64" t="str">
        <f>IF(Z16&lt;&gt;"",VLOOKUP(Z16, MixedIngredientTable[], 4, FALSE),"")</f>
        <v/>
      </c>
      <c r="AC16" s="65" t="str">
        <f>IF(Z16&lt;&gt;"",AA16*AB16,"")</f>
        <v/>
      </c>
      <c r="AE16" s="63"/>
      <c r="AF16" s="64"/>
      <c r="AG16" s="64" t="str">
        <f>IF(AE16&lt;&gt;"",VLOOKUP(AE16, MixedIngredientTable[], 4, FALSE),"")</f>
        <v/>
      </c>
      <c r="AH16" s="65" t="str">
        <f>IF(AE16&lt;&gt;"",AF16*AG16,"")</f>
        <v/>
      </c>
      <c r="AJ16" s="63"/>
      <c r="AK16" s="64"/>
      <c r="AL16" s="64" t="str">
        <f>IF(AJ16&lt;&gt;"",VLOOKUP(AJ16, MixedIngredientTable[], 4, FALSE),"")</f>
        <v/>
      </c>
      <c r="AM16" s="65" t="str">
        <f>IF(AJ16&lt;&gt;"",AK16*AL16,"")</f>
        <v/>
      </c>
    </row>
    <row r="17" spans="1:39">
      <c r="C17" t="str">
        <f>IF(A17&lt;&gt;"",VLOOKUP(Table117359454851545760636669727579[[#This Row],[Name]], IngredientTable[], 6, FALSE),"")</f>
        <v/>
      </c>
      <c r="D17" t="str">
        <f>IF(Table117359454851545760636669727579[[#This Row],[Name]]&lt;&gt;"",Table117359454851545760636669727579[[#This Row],[Quantity]]*Table117359454851545760636669727579[[#This Row],[Cost Per Unit (RM)]],"")</f>
        <v/>
      </c>
      <c r="F17" s="59" t="s">
        <v>190</v>
      </c>
      <c r="G17" s="60"/>
      <c r="H17" s="60"/>
      <c r="I17" s="66">
        <f>SUM(I15:I16)</f>
        <v>0</v>
      </c>
      <c r="K17" s="59" t="s">
        <v>190</v>
      </c>
      <c r="L17" s="60"/>
      <c r="M17" s="60"/>
      <c r="N17" s="66">
        <f>SUM(N15:N16)</f>
        <v>0</v>
      </c>
      <c r="P17" s="59" t="s">
        <v>190</v>
      </c>
      <c r="Q17" s="60"/>
      <c r="R17" s="60"/>
      <c r="S17" s="66">
        <f>SUM(S15:S16)</f>
        <v>0</v>
      </c>
      <c r="U17" s="59" t="s">
        <v>190</v>
      </c>
      <c r="V17" s="60"/>
      <c r="W17" s="60"/>
      <c r="X17" s="66">
        <f>SUM(X15:X16)</f>
        <v>0</v>
      </c>
      <c r="Z17" s="59" t="s">
        <v>190</v>
      </c>
      <c r="AA17" s="60"/>
      <c r="AB17" s="60"/>
      <c r="AC17" s="66">
        <f>SUM(AC15:AC16)</f>
        <v>0</v>
      </c>
      <c r="AE17" s="59" t="s">
        <v>190</v>
      </c>
      <c r="AF17" s="60"/>
      <c r="AG17" s="60"/>
      <c r="AH17" s="66">
        <f>SUM(AH15:AH16)</f>
        <v>0</v>
      </c>
      <c r="AJ17" s="59" t="s">
        <v>190</v>
      </c>
      <c r="AK17" s="60"/>
      <c r="AL17" s="60"/>
      <c r="AM17" s="66">
        <f>SUM(AM15:AM16)</f>
        <v>0</v>
      </c>
    </row>
    <row r="18" spans="1:39">
      <c r="C18" t="str">
        <f>IF(A18&lt;&gt;"",VLOOKUP(Table117359454851545760636669727579[[#This Row],[Name]], IngredientTable[], 6, FALSE),"")</f>
        <v/>
      </c>
      <c r="D18" t="str">
        <f>IF(Table117359454851545760636669727579[[#This Row],[Name]]&lt;&gt;"",Table117359454851545760636669727579[[#This Row],[Quantity]]*Table117359454851545760636669727579[[#This Row],[Cost Per Unit (RM)]],"")</f>
        <v/>
      </c>
    </row>
    <row r="19" spans="1:39" ht="16.5">
      <c r="D19" s="13">
        <f>SUM(Table117359454851545760636669727579[Total Cost (RM)])</f>
        <v>0</v>
      </c>
    </row>
    <row r="20" spans="1:39" ht="16.5">
      <c r="A20" s="1" t="s">
        <v>161</v>
      </c>
    </row>
    <row r="21" spans="1:39" ht="16.5">
      <c r="A21" s="7" t="s">
        <v>7</v>
      </c>
      <c r="B21" s="5" t="s">
        <v>86</v>
      </c>
      <c r="C21" s="13" t="s">
        <v>74</v>
      </c>
      <c r="D21" s="13" t="s">
        <v>10</v>
      </c>
    </row>
    <row r="22" spans="1:39" ht="16.5">
      <c r="A22" s="17" t="s">
        <v>152</v>
      </c>
      <c r="B22" s="18">
        <v>1</v>
      </c>
      <c r="C22" s="18">
        <f>IF(A22&lt;&gt;"",VLOOKUP(Table4183612464952555861646770737684[[#This Row],[Name]], PackagingTable[], 6, FALSE),"")</f>
        <v>6.9000000000000006E-2</v>
      </c>
      <c r="D22" s="18">
        <f>IF(Table4183612464952555861646770737684[[#This Row],[Name]]&lt;&gt;"",Table4183612464952555861646770737684[[#This Row],[Quantity]]*Table4183612464952555861646770737684[[#This Row],[Cost Per Unit (RM)]],"")</f>
        <v>6.9000000000000006E-2</v>
      </c>
    </row>
    <row r="23" spans="1:39" ht="16.5">
      <c r="A23" s="17"/>
      <c r="B23" s="18"/>
      <c r="C23" s="18" t="str">
        <f>IF(A23&lt;&gt;"",VLOOKUP(Table4183612464952555861646770737684[[#This Row],[Name]], PackagingTable[], 6, FALSE),"")</f>
        <v/>
      </c>
      <c r="D23" s="18" t="str">
        <f>IF(Table4183612464952555861646770737684[[#This Row],[Name]]&lt;&gt;"",Table4183612464952555861646770737684[[#This Row],[Quantity]]*Table4183612464952555861646770737684[[#This Row],[Cost Per Unit (RM)]],"")</f>
        <v/>
      </c>
    </row>
    <row r="24" spans="1:39" ht="16.5">
      <c r="A24" s="17"/>
      <c r="B24" s="18"/>
      <c r="C24" s="18" t="str">
        <f>IF(A24&lt;&gt;"",VLOOKUP(Table4183612464952555861646770737684[[#This Row],[Name]], PackagingTable[], 6, FALSE),"")</f>
        <v/>
      </c>
      <c r="D24" s="18" t="str">
        <f>IF(Table4183612464952555861646770737684[[#This Row],[Name]]&lt;&gt;"",Table4183612464952555861646770737684[[#This Row],[Quantity]]*Table4183612464952555861646770737684[[#This Row],[Cost Per Unit (RM)]],"")</f>
        <v/>
      </c>
    </row>
    <row r="25" spans="1:39" ht="16.5">
      <c r="B25" s="13"/>
      <c r="C25" s="13"/>
      <c r="D25" s="13">
        <f>SUM(Table4183612464952555861646770737684[Total Cost (RM)])</f>
        <v>6.9000000000000006E-2</v>
      </c>
    </row>
  </sheetData>
  <mergeCells count="14">
    <mergeCell ref="Z10:AC10"/>
    <mergeCell ref="AJ10:AM10"/>
    <mergeCell ref="AJ14:AM14"/>
    <mergeCell ref="AE10:AH10"/>
    <mergeCell ref="AE14:AH14"/>
    <mergeCell ref="Z14:AC14"/>
    <mergeCell ref="F14:I14"/>
    <mergeCell ref="K14:N14"/>
    <mergeCell ref="P14:S14"/>
    <mergeCell ref="U14:X14"/>
    <mergeCell ref="F10:I10"/>
    <mergeCell ref="K10:N10"/>
    <mergeCell ref="P10:S10"/>
    <mergeCell ref="U10:X10"/>
  </mergeCells>
  <dataValidations count="4">
    <dataValidation allowBlank="1" showInputMessage="1" showErrorMessage="1" sqref="F13 I13 F17 I17 K13 N13 K17 N17 P13 S13 P17 S17 U13 X13 U17 X17 Z13 AC13 Z17 AC17 AE13 AH13 AE17 AH17 AJ13 AM13 AJ17 AM17" xr:uid="{FCC91890-2A05-4A48-B153-73A6577AD75A}"/>
    <dataValidation type="list" allowBlank="1" showInputMessage="1" showErrorMessage="1" sqref="A22:A24" xr:uid="{1C543971-FDC9-47E9-AADB-399247402FDD}">
      <formula1>INDIRECT("PackagingTable[Name]")</formula1>
    </dataValidation>
    <dataValidation type="list" allowBlank="1" showInputMessage="1" showErrorMessage="1" sqref="A10:A11 F15:F16 K15:K16 P15:P16 U15:U16 Z15:Z16 AE15:AE16 AJ15:AJ16" xr:uid="{D5BABD4B-8DEF-4EEF-B547-293982BEB59A}">
      <formula1>INDIRECT("MixedIngredientTable[Name]")</formula1>
    </dataValidation>
    <dataValidation type="list" allowBlank="1" showInputMessage="1" showErrorMessage="1" sqref="A16:A18 F11:F12 K11:K12 P11:P12 U11:U12 Z11:Z12 AE11:AE12 AJ11:AJ12" xr:uid="{41E4A687-AE71-4750-A2BD-2BEF30777CFB}">
      <formula1>INDIRECT("IngredientTable[Name]")</formula1>
    </dataValidation>
  </dataValidation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E5BC-FD4A-4742-873F-980041C8CA7F}">
  <sheetPr>
    <tabColor theme="8" tint="0.39997558519241921"/>
    <pageSetUpPr fitToPage="1"/>
  </sheetPr>
  <dimension ref="A1:X26"/>
  <sheetViews>
    <sheetView topLeftCell="D1" workbookViewId="0">
      <selection activeCell="N26" sqref="N26"/>
    </sheetView>
  </sheetViews>
  <sheetFormatPr defaultColWidth="11" defaultRowHeight="15.75"/>
  <cols>
    <col min="1" max="1" width="22.125" bestFit="1" customWidth="1"/>
    <col min="2" max="2" width="31.5" bestFit="1" customWidth="1"/>
    <col min="3" max="3" width="17.75" bestFit="1" customWidth="1"/>
    <col min="4" max="4" width="15.25" bestFit="1" customWidth="1"/>
    <col min="5" max="5" width="9"/>
    <col min="6" max="6" width="22.125" bestFit="1" customWidth="1"/>
    <col min="7" max="7" width="14.875" bestFit="1" customWidth="1"/>
    <col min="8" max="8" width="13.875" bestFit="1" customWidth="1"/>
    <col min="9" max="9" width="14.375" bestFit="1" customWidth="1"/>
    <col min="10" max="10" width="9"/>
    <col min="11" max="11" width="15.25" bestFit="1" customWidth="1"/>
    <col min="12" max="12" width="14.875" bestFit="1" customWidth="1"/>
    <col min="13" max="13" width="13.875" bestFit="1" customWidth="1"/>
    <col min="14" max="14" width="14.375" bestFit="1" customWidth="1"/>
    <col min="15" max="15" width="9"/>
    <col min="16" max="16" width="15.25" bestFit="1" customWidth="1"/>
    <col min="17" max="17" width="13.25" bestFit="1" customWidth="1"/>
    <col min="18" max="18" width="13.875" bestFit="1" customWidth="1"/>
    <col min="19" max="19" width="14.375" bestFit="1" customWidth="1"/>
    <col min="20" max="20" width="9"/>
    <col min="21" max="21" width="15.25" bestFit="1" customWidth="1"/>
    <col min="22" max="22" width="22.375" bestFit="1" customWidth="1"/>
    <col min="23" max="23" width="13.875" bestFit="1" customWidth="1"/>
    <col min="24" max="24" width="14.375" bestFit="1" customWidth="1"/>
    <col min="25" max="25" width="9"/>
    <col min="26" max="26" width="15.25" bestFit="1" customWidth="1"/>
    <col min="27" max="27" width="13.25" bestFit="1" customWidth="1"/>
    <col min="28" max="28" width="13.875" bestFit="1" customWidth="1"/>
    <col min="29" max="29" width="14.375" bestFit="1" customWidth="1"/>
    <col min="30" max="30" width="9"/>
    <col min="31" max="31" width="15.375" bestFit="1" customWidth="1"/>
    <col min="32" max="32" width="13.25" bestFit="1" customWidth="1"/>
    <col min="33" max="33" width="13.875" bestFit="1" customWidth="1"/>
    <col min="34" max="34" width="14.375" bestFit="1" customWidth="1"/>
    <col min="35" max="35" width="9"/>
    <col min="36" max="36" width="15.375" bestFit="1" customWidth="1"/>
    <col min="37" max="37" width="13.25" bestFit="1" customWidth="1"/>
    <col min="38" max="38" width="13.875" bestFit="1" customWidth="1"/>
    <col min="39" max="39" width="14.375" bestFit="1" customWidth="1"/>
  </cols>
  <sheetData>
    <row r="1" spans="1:24">
      <c r="A1" s="1" t="s">
        <v>158</v>
      </c>
      <c r="B1" s="1" t="s">
        <v>211</v>
      </c>
    </row>
    <row r="2" spans="1:24">
      <c r="A2" s="1" t="s">
        <v>83</v>
      </c>
      <c r="B2" s="8" t="s">
        <v>212</v>
      </c>
    </row>
    <row r="4" spans="1:24">
      <c r="A4" s="1" t="s">
        <v>84</v>
      </c>
      <c r="F4" s="8" t="s">
        <v>186</v>
      </c>
      <c r="G4" s="8" t="s">
        <v>45</v>
      </c>
      <c r="K4" s="8" t="s">
        <v>186</v>
      </c>
      <c r="L4" s="8" t="s">
        <v>47</v>
      </c>
      <c r="P4" s="8" t="s">
        <v>186</v>
      </c>
      <c r="Q4" s="8" t="s">
        <v>44</v>
      </c>
      <c r="U4" s="8" t="s">
        <v>186</v>
      </c>
      <c r="V4" s="8" t="s">
        <v>213</v>
      </c>
    </row>
    <row r="5" spans="1:24">
      <c r="A5" s="3" t="s">
        <v>9</v>
      </c>
      <c r="B5" s="35" t="s">
        <v>10</v>
      </c>
      <c r="C5" s="36" t="s">
        <v>160</v>
      </c>
      <c r="D5" s="37" t="s">
        <v>12</v>
      </c>
      <c r="F5" s="3" t="s">
        <v>9</v>
      </c>
      <c r="G5" s="35" t="s">
        <v>10</v>
      </c>
      <c r="H5" s="36" t="s">
        <v>160</v>
      </c>
      <c r="I5" s="37" t="s">
        <v>12</v>
      </c>
      <c r="K5" s="3" t="s">
        <v>9</v>
      </c>
      <c r="L5" s="35" t="s">
        <v>10</v>
      </c>
      <c r="M5" s="36" t="s">
        <v>160</v>
      </c>
      <c r="N5" s="37" t="s">
        <v>12</v>
      </c>
      <c r="P5" s="3" t="s">
        <v>9</v>
      </c>
      <c r="Q5" s="35" t="s">
        <v>10</v>
      </c>
      <c r="R5" s="36" t="s">
        <v>160</v>
      </c>
      <c r="S5" s="37" t="s">
        <v>12</v>
      </c>
      <c r="U5" s="3" t="s">
        <v>9</v>
      </c>
      <c r="V5" s="35" t="s">
        <v>10</v>
      </c>
      <c r="W5" s="36" t="s">
        <v>160</v>
      </c>
      <c r="X5" s="37" t="s">
        <v>12</v>
      </c>
    </row>
    <row r="6" spans="1:24">
      <c r="A6" s="2">
        <v>10</v>
      </c>
      <c r="B6" s="38">
        <f>SUM(Table117359454851545760636669727579142[[#Totals],[Total Cost (RM)]]+Table4183612464952555861646770737684143[[#Totals],[Total Cost (RM)]]+Table114193741475053565962656871747790144[[#Totals],[Total Cost (RM)]])</f>
        <v>4.8847142857142858</v>
      </c>
      <c r="C6" s="39">
        <f>A6-B6</f>
        <v>5.1152857142857142</v>
      </c>
      <c r="D6" s="40">
        <f>(C6/A6)*100</f>
        <v>51.152857142857144</v>
      </c>
      <c r="F6" s="2">
        <v>12</v>
      </c>
      <c r="G6" s="38">
        <f>SUM(Table11735945485154576063666972[[#Totals],[Total Cost (RM)]]+Table418361246495255586164677073[[#Totals],[Total Cost (RM)]]+Table11419374147505356596265687174[[#Totals],[Total Cost (RM)]],I13,I17)</f>
        <v>3.6489710144927536</v>
      </c>
      <c r="H6" s="39">
        <f>F6-G6</f>
        <v>8.3510289855072468</v>
      </c>
      <c r="I6" s="40">
        <f>(H6/F6)*100</f>
        <v>69.591908212560398</v>
      </c>
      <c r="K6" s="2">
        <v>12</v>
      </c>
      <c r="L6" s="38">
        <f>SUM(Table11735945485154576063666972[[#Totals],[Total Cost (RM)]]+Table418361246495255586164677073[[#Totals],[Total Cost (RM)]]+Table11419374147505356596265687174[[#Totals],[Total Cost (RM)]],N13,N17)</f>
        <v>3.6309774774774777</v>
      </c>
      <c r="M6" s="39">
        <f>K6-L6</f>
        <v>8.3690225225225223</v>
      </c>
      <c r="N6" s="40">
        <f>(M6/K6)*100</f>
        <v>69.741854354354345</v>
      </c>
      <c r="P6" s="2">
        <v>12</v>
      </c>
      <c r="Q6" s="38">
        <f>SUM(Table11735945485154576063666972[[#Totals],[Total Cost (RM)]]+Table418361246495255586164677073[[#Totals],[Total Cost (RM)]]+Table11419374147505356596265687174[[#Totals],[Total Cost (RM)]],S13,S17)</f>
        <v>3.5449999999999999</v>
      </c>
      <c r="R6" s="39">
        <f>P6-Q6</f>
        <v>8.4550000000000001</v>
      </c>
      <c r="S6" s="40">
        <f>(R6/P6)*100</f>
        <v>70.458333333333329</v>
      </c>
      <c r="U6" s="2">
        <v>12</v>
      </c>
      <c r="V6" s="38">
        <f>SUM(Table11735945485154576063666972[[#Totals],[Total Cost (RM)]]+Table418361246495255586164677073[[#Totals],[Total Cost (RM)]]+Table11419374147505356596265687174[[#Totals],[Total Cost (RM)]],X13,X17)</f>
        <v>4.3542183908045979</v>
      </c>
      <c r="W6" s="39">
        <f>U6-V6</f>
        <v>7.6457816091954021</v>
      </c>
      <c r="X6" s="40">
        <f>(W6/U6)*100</f>
        <v>63.71484674329502</v>
      </c>
    </row>
    <row r="7" spans="1:24">
      <c r="D7" s="41"/>
    </row>
    <row r="8" spans="1:24">
      <c r="A8" s="1" t="s">
        <v>98</v>
      </c>
    </row>
    <row r="9" spans="1:24">
      <c r="A9" s="7" t="s">
        <v>7</v>
      </c>
      <c r="B9" s="5" t="s">
        <v>86</v>
      </c>
      <c r="C9" s="13" t="s">
        <v>74</v>
      </c>
      <c r="D9" s="13" t="s">
        <v>10</v>
      </c>
      <c r="F9" s="67" t="s">
        <v>85</v>
      </c>
      <c r="G9" s="67" t="s">
        <v>86</v>
      </c>
      <c r="H9" s="54" t="s">
        <v>189</v>
      </c>
      <c r="I9" s="53" t="s">
        <v>10</v>
      </c>
      <c r="K9" s="67" t="s">
        <v>85</v>
      </c>
      <c r="L9" s="67" t="s">
        <v>86</v>
      </c>
      <c r="M9" s="54" t="s">
        <v>189</v>
      </c>
      <c r="N9" s="53" t="s">
        <v>10</v>
      </c>
      <c r="P9" s="67" t="s">
        <v>85</v>
      </c>
      <c r="Q9" s="67" t="s">
        <v>86</v>
      </c>
      <c r="R9" s="54" t="s">
        <v>189</v>
      </c>
      <c r="S9" s="53" t="s">
        <v>10</v>
      </c>
      <c r="U9" s="67" t="s">
        <v>85</v>
      </c>
      <c r="V9" s="67" t="s">
        <v>86</v>
      </c>
      <c r="W9" s="54" t="s">
        <v>189</v>
      </c>
      <c r="X9" s="53" t="s">
        <v>10</v>
      </c>
    </row>
    <row r="10" spans="1:24">
      <c r="B10" s="13"/>
      <c r="C10" s="13" t="str">
        <f>IF(A10&lt;&gt;"",VLOOKUP(Table114193741475053565962656871747790144[[#This Row],[Name]], MixedIngredientTable[], 4, FALSE),"")</f>
        <v/>
      </c>
      <c r="D10" s="13" t="str">
        <f>IF(Table114193741475053565962656871747790144[[#This Row],[Name]]&lt;&gt;"",Table114193741475053565962656871747790144[[#This Row],[Quantity]]*Table114193741475053565962656871747790144[[#This Row],[Cost Per Unit (RM)]],"")</f>
        <v/>
      </c>
      <c r="F10" s="81" t="s">
        <v>85</v>
      </c>
      <c r="G10" s="82"/>
      <c r="H10" s="82"/>
      <c r="I10" s="83"/>
      <c r="K10" s="81" t="s">
        <v>85</v>
      </c>
      <c r="L10" s="82"/>
      <c r="M10" s="82"/>
      <c r="N10" s="83"/>
      <c r="P10" s="81" t="s">
        <v>85</v>
      </c>
      <c r="Q10" s="82"/>
      <c r="R10" s="82"/>
      <c r="S10" s="83"/>
      <c r="U10" s="81" t="s">
        <v>85</v>
      </c>
      <c r="V10" s="82"/>
      <c r="W10" s="82"/>
      <c r="X10" s="83"/>
    </row>
    <row r="11" spans="1:24">
      <c r="B11" s="13"/>
      <c r="C11" s="13" t="str">
        <f>IF(A11&lt;&gt;"",VLOOKUP(Table114193741475053565962656871747790144[[#This Row],[Name]], MixedIngredientTable[], 4, FALSE),"")</f>
        <v/>
      </c>
      <c r="D11" s="13" t="str">
        <f>IF(Table114193741475053565962656871747790144[[#This Row],[Name]]&lt;&gt;"",Table114193741475053565962656871747790144[[#This Row],[Quantity]]*Table114193741475053565962656871747790144[[#This Row],[Cost Per Unit (RM)]],"")</f>
        <v/>
      </c>
      <c r="F11" s="55" t="s">
        <v>130</v>
      </c>
      <c r="G11" s="56">
        <v>3</v>
      </c>
      <c r="H11" s="56">
        <f>IF(F11&lt;&gt;"",VLOOKUP(F11, IngredientTable[], 6, FALSE),"")</f>
        <v>0.38043478260869568</v>
      </c>
      <c r="I11" s="56">
        <f>IF(F11&lt;&gt;"",G11*H11,"")</f>
        <v>1.1413043478260869</v>
      </c>
      <c r="K11" s="55" t="s">
        <v>47</v>
      </c>
      <c r="L11" s="56">
        <v>5</v>
      </c>
      <c r="M11" s="56">
        <f>IF(K11&lt;&gt;"",VLOOKUP(K11, IngredientTable[], 6, FALSE),"")</f>
        <v>0.22466216216216217</v>
      </c>
      <c r="N11" s="56">
        <f>IF(K11&lt;&gt;"",L11*M11,"")</f>
        <v>1.123310810810811</v>
      </c>
      <c r="P11" s="55" t="s">
        <v>44</v>
      </c>
      <c r="Q11" s="56">
        <v>100</v>
      </c>
      <c r="R11" s="56">
        <f>IF(P11&lt;&gt;"",VLOOKUP(P11, IngredientTable[], 6, FALSE),"")</f>
        <v>1.0373333333333333E-2</v>
      </c>
      <c r="S11" s="56">
        <f>IF(P11&lt;&gt;"",Q11*R11,"")</f>
        <v>1.0373333333333334</v>
      </c>
      <c r="U11" s="55" t="s">
        <v>40</v>
      </c>
      <c r="V11" s="56">
        <v>3</v>
      </c>
      <c r="W11" s="56">
        <f>IF(U11&lt;&gt;"",VLOOKUP(U11, IngredientTable[], 6, FALSE),"")</f>
        <v>0.61551724137931041</v>
      </c>
      <c r="X11" s="56">
        <f>IF(U11&lt;&gt;"",V11*W11,"")</f>
        <v>1.8465517241379312</v>
      </c>
    </row>
    <row r="12" spans="1:24">
      <c r="D12" s="13">
        <f>SUM(Table114193741475053565962656871747790144[Total Cost (RM)])</f>
        <v>0</v>
      </c>
      <c r="F12" s="57"/>
      <c r="G12" s="58"/>
      <c r="H12" s="58" t="str">
        <f>IF(F12&lt;&gt;"",VLOOKUP(F12, IngredientTable[], 6, FALSE),"")</f>
        <v/>
      </c>
      <c r="I12" s="58" t="str">
        <f>IF(F12&lt;&gt;"",G12*H12,"")</f>
        <v/>
      </c>
      <c r="K12" s="57"/>
      <c r="L12" s="58"/>
      <c r="M12" s="58" t="str">
        <f>IF(K12&lt;&gt;"",VLOOKUP(K12, IngredientTable[], 6, FALSE),"")</f>
        <v/>
      </c>
      <c r="N12" s="58" t="str">
        <f>IF(K12&lt;&gt;"",L12*M12,"")</f>
        <v/>
      </c>
      <c r="P12" s="57"/>
      <c r="Q12" s="58"/>
      <c r="R12" s="58" t="str">
        <f>IF(P12&lt;&gt;"",VLOOKUP(P12, IngredientTable[], 6, FALSE),"")</f>
        <v/>
      </c>
      <c r="S12" s="58" t="str">
        <f>IF(P12&lt;&gt;"",Q12*R12,"")</f>
        <v/>
      </c>
      <c r="U12" s="57"/>
      <c r="V12" s="58"/>
      <c r="W12" s="58" t="str">
        <f>IF(U12&lt;&gt;"",VLOOKUP(U12, IngredientTable[], 6, FALSE),"")</f>
        <v/>
      </c>
      <c r="X12" s="58" t="str">
        <f>IF(U12&lt;&gt;"",V12*W12,"")</f>
        <v/>
      </c>
    </row>
    <row r="13" spans="1:24">
      <c r="F13" s="59" t="s">
        <v>190</v>
      </c>
      <c r="G13" s="60"/>
      <c r="H13" s="60"/>
      <c r="I13" s="61">
        <f>SUM(I11:I12)</f>
        <v>1.1413043478260869</v>
      </c>
      <c r="K13" s="59" t="s">
        <v>190</v>
      </c>
      <c r="L13" s="60"/>
      <c r="M13" s="60"/>
      <c r="N13" s="61">
        <f>SUM(N11:N12)</f>
        <v>1.123310810810811</v>
      </c>
      <c r="P13" s="59" t="s">
        <v>190</v>
      </c>
      <c r="Q13" s="60"/>
      <c r="R13" s="60"/>
      <c r="S13" s="61">
        <f>SUM(S11:S12)</f>
        <v>1.0373333333333334</v>
      </c>
      <c r="U13" s="59" t="s">
        <v>190</v>
      </c>
      <c r="V13" s="60"/>
      <c r="W13" s="60"/>
      <c r="X13" s="61">
        <f>SUM(X11:X12)</f>
        <v>1.8465517241379312</v>
      </c>
    </row>
    <row r="14" spans="1:24">
      <c r="A14" s="1" t="s">
        <v>85</v>
      </c>
      <c r="F14" s="84" t="s">
        <v>98</v>
      </c>
      <c r="G14" s="85"/>
      <c r="H14" s="85"/>
      <c r="I14" s="86"/>
      <c r="K14" s="84" t="s">
        <v>98</v>
      </c>
      <c r="L14" s="85"/>
      <c r="M14" s="85"/>
      <c r="N14" s="86"/>
      <c r="P14" s="84" t="s">
        <v>98</v>
      </c>
      <c r="Q14" s="85"/>
      <c r="R14" s="85"/>
      <c r="S14" s="86"/>
      <c r="U14" s="84" t="s">
        <v>98</v>
      </c>
      <c r="V14" s="85"/>
      <c r="W14" s="85"/>
      <c r="X14" s="86"/>
    </row>
    <row r="15" spans="1:24">
      <c r="A15" s="7" t="s">
        <v>7</v>
      </c>
      <c r="B15" s="5" t="s">
        <v>86</v>
      </c>
      <c r="C15" s="13" t="s">
        <v>74</v>
      </c>
      <c r="D15" s="13" t="s">
        <v>10</v>
      </c>
      <c r="F15" s="55"/>
      <c r="G15" s="62"/>
      <c r="H15" s="62" t="str">
        <f>IF(F15&lt;&gt;"",VLOOKUP(F15, MixedIngredientTable[], 4, FALSE),"")</f>
        <v/>
      </c>
      <c r="I15" s="62" t="str">
        <f>IF(F15&lt;&gt;"",G15*H15,"")</f>
        <v/>
      </c>
      <c r="K15" s="55"/>
      <c r="L15" s="62"/>
      <c r="M15" s="62" t="str">
        <f>IF(K15&lt;&gt;"",VLOOKUP(K15, MixedIngredientTable[], 4, FALSE),"")</f>
        <v/>
      </c>
      <c r="N15" s="62" t="str">
        <f>IF(K15&lt;&gt;"",L15*M15,"")</f>
        <v/>
      </c>
      <c r="P15" s="55"/>
      <c r="Q15" s="62"/>
      <c r="R15" s="62" t="str">
        <f>IF(P15&lt;&gt;"",VLOOKUP(P15, MixedIngredientTable[], 4, FALSE),"")</f>
        <v/>
      </c>
      <c r="S15" s="62" t="str">
        <f>IF(P15&lt;&gt;"",Q15*R15,"")</f>
        <v/>
      </c>
      <c r="U15" s="55"/>
      <c r="V15" s="62"/>
      <c r="W15" s="62" t="str">
        <f>IF(U15&lt;&gt;"",VLOOKUP(U15, MixedIngredientTable[], 4, FALSE),"")</f>
        <v/>
      </c>
      <c r="X15" s="62" t="str">
        <f>IF(U15&lt;&gt;"",V15*W15,"")</f>
        <v/>
      </c>
    </row>
    <row r="16" spans="1:24">
      <c r="A16" t="s">
        <v>132</v>
      </c>
      <c r="B16">
        <v>1</v>
      </c>
      <c r="C16">
        <f>IF(A16&lt;&gt;"",VLOOKUP(Table117359454851545760636669727579142[[#This Row],[Name]], IngredientTable[], 6, FALSE),"")</f>
        <v>4.58</v>
      </c>
      <c r="D16">
        <f>IF(Table117359454851545760636669727579142[[#This Row],[Name]]&lt;&gt;"",Table117359454851545760636669727579142[[#This Row],[Quantity]]*Table117359454851545760636669727579142[[#This Row],[Cost Per Unit (RM)]],"")</f>
        <v>4.58</v>
      </c>
      <c r="F16" s="63"/>
      <c r="G16" s="64"/>
      <c r="H16" s="64" t="str">
        <f>IF(F16&lt;&gt;"",VLOOKUP(F16, MixedIngredientTable[], 4, FALSE),"")</f>
        <v/>
      </c>
      <c r="I16" s="65" t="str">
        <f>IF(F16&lt;&gt;"",G16*H16,"")</f>
        <v/>
      </c>
      <c r="K16" s="63"/>
      <c r="L16" s="64"/>
      <c r="M16" s="64" t="str">
        <f>IF(K16&lt;&gt;"",VLOOKUP(K16, MixedIngredientTable[], 4, FALSE),"")</f>
        <v/>
      </c>
      <c r="N16" s="65" t="str">
        <f>IF(K16&lt;&gt;"",L16*M16,"")</f>
        <v/>
      </c>
      <c r="P16" s="63"/>
      <c r="Q16" s="64"/>
      <c r="R16" s="64" t="str">
        <f>IF(P16&lt;&gt;"",VLOOKUP(P16, MixedIngredientTable[], 4, FALSE),"")</f>
        <v/>
      </c>
      <c r="S16" s="65" t="str">
        <f>IF(P16&lt;&gt;"",Q16*R16,"")</f>
        <v/>
      </c>
      <c r="U16" s="63"/>
      <c r="V16" s="64"/>
      <c r="W16" s="64" t="str">
        <f>IF(U16&lt;&gt;"",VLOOKUP(U16, MixedIngredientTable[], 4, FALSE),"")</f>
        <v/>
      </c>
      <c r="X16" s="65" t="str">
        <f>IF(U16&lt;&gt;"",V16*W16,"")</f>
        <v/>
      </c>
    </row>
    <row r="17" spans="1:24">
      <c r="A17" t="s">
        <v>71</v>
      </c>
      <c r="B17">
        <v>20</v>
      </c>
      <c r="C17">
        <f>IF(A17&lt;&gt;"",VLOOKUP(Table117359454851545760636669727579142[[#This Row],[Name]], IngredientTable[], 6, FALSE),"")</f>
        <v>1.1785714285714287E-2</v>
      </c>
      <c r="D17">
        <f>IF(Table117359454851545760636669727579142[[#This Row],[Name]]&lt;&gt;"",Table117359454851545760636669727579142[[#This Row],[Quantity]]*Table117359454851545760636669727579142[[#This Row],[Cost Per Unit (RM)]],"")</f>
        <v>0.23571428571428574</v>
      </c>
      <c r="F17" s="59" t="s">
        <v>190</v>
      </c>
      <c r="G17" s="60"/>
      <c r="H17" s="60"/>
      <c r="I17" s="66">
        <f>SUM(I15:I16)</f>
        <v>0</v>
      </c>
      <c r="K17" s="59" t="s">
        <v>190</v>
      </c>
      <c r="L17" s="60"/>
      <c r="M17" s="60"/>
      <c r="N17" s="66">
        <f>SUM(N15:N16)</f>
        <v>0</v>
      </c>
      <c r="P17" s="59" t="s">
        <v>190</v>
      </c>
      <c r="Q17" s="60"/>
      <c r="R17" s="60"/>
      <c r="S17" s="66">
        <f>SUM(S15:S16)</f>
        <v>0</v>
      </c>
      <c r="U17" s="59" t="s">
        <v>190</v>
      </c>
      <c r="V17" s="60"/>
      <c r="W17" s="60"/>
      <c r="X17" s="66">
        <f>SUM(X15:X16)</f>
        <v>0</v>
      </c>
    </row>
    <row r="18" spans="1:24">
      <c r="C18" t="str">
        <f>IF(A18&lt;&gt;"",VLOOKUP(Table117359454851545760636669727579142[[#This Row],[Name]], IngredientTable[], 6, FALSE),"")</f>
        <v/>
      </c>
      <c r="D18" t="str">
        <f>IF(Table117359454851545760636669727579142[[#This Row],[Name]]&lt;&gt;"",Table117359454851545760636669727579142[[#This Row],[Quantity]]*Table117359454851545760636669727579142[[#This Row],[Cost Per Unit (RM)]],"")</f>
        <v/>
      </c>
    </row>
    <row r="19" spans="1:24">
      <c r="D19" s="13">
        <f>SUM(Table117359454851545760636669727579142[Total Cost (RM)])</f>
        <v>4.8157142857142858</v>
      </c>
    </row>
    <row r="20" spans="1:24">
      <c r="D20" s="13"/>
    </row>
    <row r="21" spans="1:24">
      <c r="A21" s="1" t="s">
        <v>161</v>
      </c>
    </row>
    <row r="22" spans="1:24">
      <c r="A22" s="7" t="s">
        <v>7</v>
      </c>
      <c r="B22" s="5" t="s">
        <v>86</v>
      </c>
      <c r="C22" s="13" t="s">
        <v>74</v>
      </c>
      <c r="D22" s="13" t="s">
        <v>10</v>
      </c>
    </row>
    <row r="23" spans="1:24">
      <c r="A23" s="17" t="s">
        <v>152</v>
      </c>
      <c r="B23" s="18">
        <v>1</v>
      </c>
      <c r="C23" s="18">
        <f>IF(A23&lt;&gt;"",VLOOKUP(Table4183612464952555861646770737684143[[#This Row],[Name]], PackagingTable[], 6, FALSE),"")</f>
        <v>6.9000000000000006E-2</v>
      </c>
      <c r="D23" s="18">
        <f>IF(Table4183612464952555861646770737684143[[#This Row],[Name]]&lt;&gt;"",Table4183612464952555861646770737684143[[#This Row],[Quantity]]*Table4183612464952555861646770737684143[[#This Row],[Cost Per Unit (RM)]],"")</f>
        <v>6.9000000000000006E-2</v>
      </c>
    </row>
    <row r="24" spans="1:24">
      <c r="A24" s="17"/>
      <c r="B24" s="18"/>
      <c r="C24" s="18" t="str">
        <f>IF(A24&lt;&gt;"",VLOOKUP(Table4183612464952555861646770737684143[[#This Row],[Name]], PackagingTable[], 6, FALSE),"")</f>
        <v/>
      </c>
      <c r="D24" s="18" t="str">
        <f>IF(Table4183612464952555861646770737684143[[#This Row],[Name]]&lt;&gt;"",Table4183612464952555861646770737684143[[#This Row],[Quantity]]*Table4183612464952555861646770737684143[[#This Row],[Cost Per Unit (RM)]],"")</f>
        <v/>
      </c>
    </row>
    <row r="25" spans="1:24">
      <c r="A25" s="17"/>
      <c r="B25" s="18"/>
      <c r="C25" s="18" t="str">
        <f>IF(A25&lt;&gt;"",VLOOKUP(Table4183612464952555861646770737684143[[#This Row],[Name]], PackagingTable[], 6, FALSE),"")</f>
        <v/>
      </c>
      <c r="D25" s="18" t="str">
        <f>IF(Table4183612464952555861646770737684143[[#This Row],[Name]]&lt;&gt;"",Table4183612464952555861646770737684143[[#This Row],[Quantity]]*Table4183612464952555861646770737684143[[#This Row],[Cost Per Unit (RM)]],"")</f>
        <v/>
      </c>
    </row>
    <row r="26" spans="1:24">
      <c r="B26" s="13"/>
      <c r="C26" s="13"/>
      <c r="D26" s="13">
        <f>SUM(Table4183612464952555861646770737684143[Total Cost (RM)])</f>
        <v>6.9000000000000006E-2</v>
      </c>
    </row>
  </sheetData>
  <mergeCells count="8">
    <mergeCell ref="F14:I14"/>
    <mergeCell ref="K14:N14"/>
    <mergeCell ref="P14:S14"/>
    <mergeCell ref="U14:X14"/>
    <mergeCell ref="F10:I10"/>
    <mergeCell ref="K10:N10"/>
    <mergeCell ref="P10:S10"/>
    <mergeCell ref="U10:X10"/>
  </mergeCells>
  <dataValidations count="4">
    <dataValidation type="list" allowBlank="1" showInputMessage="1" showErrorMessage="1" sqref="A16:A18 F11:F12 K11:K12 P11:P12 U11:U12" xr:uid="{A2D2EEB5-5585-4FEE-84D4-7F60924A3984}">
      <formula1>INDIRECT("IngredientTable[Name]")</formula1>
    </dataValidation>
    <dataValidation type="list" allowBlank="1" showInputMessage="1" showErrorMessage="1" sqref="A10:A11 F15:F16 K15:K16 P15:P16 U15:U16" xr:uid="{DC497EF5-CCEF-4E89-AA8E-BB42E9D85EC9}">
      <formula1>INDIRECT("MixedIngredientTable[Name]")</formula1>
    </dataValidation>
    <dataValidation type="list" allowBlank="1" showInputMessage="1" showErrorMessage="1" sqref="A23:A25" xr:uid="{21D2237E-36EE-419A-B663-CDB3965B4F90}">
      <formula1>INDIRECT("PackagingTable[Name]")</formula1>
    </dataValidation>
    <dataValidation allowBlank="1" showInputMessage="1" showErrorMessage="1" sqref="F13 I13 F17 I17 K13 N13 K17 N17 P13 S13 P17 S17 U13 X13 U17 X17" xr:uid="{5B489B1D-1626-4C9B-81D1-EABA552ABC6C}"/>
  </dataValidations>
  <pageMargins left="0.7" right="0.7" top="0.75" bottom="0.75" header="0.3" footer="0.3"/>
  <pageSetup paperSize="9" fitToHeight="0" orientation="landscape" horizontalDpi="0" verticalDpi="0"/>
  <tableParts count="3">
    <tablePart r:id="rId1"/>
    <tablePart r:id="rId2"/>
    <tablePart r:id="rId3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2B44-A348-49D1-820E-3BAC86AC16B6}">
  <sheetPr>
    <tabColor theme="5"/>
  </sheetPr>
  <dimension ref="A1:D23"/>
  <sheetViews>
    <sheetView zoomScale="84" workbookViewId="0">
      <selection activeCell="A4" sqref="A4"/>
    </sheetView>
  </sheetViews>
  <sheetFormatPr defaultColWidth="11" defaultRowHeight="16.5"/>
  <cols>
    <col min="1" max="1" width="32" customWidth="1"/>
    <col min="2" max="2" width="18.375" bestFit="1" customWidth="1"/>
    <col min="3" max="3" width="13.75" bestFit="1" customWidth="1"/>
    <col min="4" max="4" width="23.375" bestFit="1" customWidth="1"/>
  </cols>
  <sheetData>
    <row r="1" spans="1:4">
      <c r="A1" s="47" t="s">
        <v>214</v>
      </c>
    </row>
    <row r="3" spans="1:4">
      <c r="A3" s="16" t="s">
        <v>7</v>
      </c>
      <c r="B3" s="43" t="s">
        <v>10</v>
      </c>
      <c r="C3" s="44" t="s">
        <v>57</v>
      </c>
      <c r="D3" s="45" t="s">
        <v>74</v>
      </c>
    </row>
    <row r="4" spans="1:4">
      <c r="A4" s="21" t="s">
        <v>75</v>
      </c>
      <c r="B4" s="23" cm="1">
        <f t="array" aca="1" ref="B4" ca="1">IF(MixedIngredientTable78[[#This Row],[Name]]&lt;&gt;"",INDIRECT("'" &amp; MixedIngredientTable78[[#This Row],[Name]] &amp; "'!A5"),"")</f>
        <v>53</v>
      </c>
      <c r="C4" s="23" cm="1">
        <f t="array" aca="1" ref="C4" ca="1">IF(MixedIngredientTable78[[#This Row],[Name]]&lt;&gt;"",INDIRECT("'" &amp; MixedIngredientTable78[[#This Row],[Name]] &amp; "'!B5"),"")</f>
        <v>9500</v>
      </c>
      <c r="D4" s="21">
        <f ca="1">IF(MixedIngredientTable78[[#This Row],[Name]]&lt;&gt;"",MixedIngredientTable78[[#This Row],[Total Cost (RM)]]/MixedIngredientTable78[[#This Row],[Total Units]],"")</f>
        <v>5.5789473684210522E-3</v>
      </c>
    </row>
    <row r="5" spans="1:4">
      <c r="A5" s="21" t="s">
        <v>76</v>
      </c>
      <c r="B5" s="23" cm="1">
        <f t="array" aca="1" ref="B5" ca="1">IF(MixedIngredientTable78[[#This Row],[Name]]&lt;&gt;"",INDIRECT("'" &amp; MixedIngredientTable78[[#This Row],[Name]] &amp; "'!A5"),"")</f>
        <v>2.88</v>
      </c>
      <c r="C5" s="23" cm="1">
        <f t="array" aca="1" ref="C5" ca="1">IF(MixedIngredientTable78[[#This Row],[Name]]&lt;&gt;"",INDIRECT("'" &amp; MixedIngredientTable78[[#This Row],[Name]] &amp; "'!B5"),"")</f>
        <v>190</v>
      </c>
      <c r="D5" s="21">
        <f ca="1">IF(MixedIngredientTable78[[#This Row],[Name]]&lt;&gt;"",MixedIngredientTable78[[#This Row],[Total Cost (RM)]]/MixedIngredientTable78[[#This Row],[Total Units]],"")</f>
        <v>1.5157894736842105E-2</v>
      </c>
    </row>
    <row r="6" spans="1:4">
      <c r="A6" s="21" t="s">
        <v>77</v>
      </c>
      <c r="B6" s="23" cm="1">
        <f t="array" aca="1" ref="B6" ca="1">IF(MixedIngredientTable78[[#This Row],[Name]]&lt;&gt;"",INDIRECT("'" &amp; MixedIngredientTable78[[#This Row],[Name]] &amp; "'!A5"),"")</f>
        <v>0.47199999999999998</v>
      </c>
      <c r="C6" s="23" cm="1">
        <f t="array" aca="1" ref="C6" ca="1">IF(MixedIngredientTable78[[#This Row],[Name]]&lt;&gt;"",INDIRECT("'" &amp; MixedIngredientTable78[[#This Row],[Name]] &amp; "'!B5"),"")</f>
        <v>22</v>
      </c>
      <c r="D6" s="21">
        <f ca="1">IF(MixedIngredientTable78[[#This Row],[Name]]&lt;&gt;"",MixedIngredientTable78[[#This Row],[Total Cost (RM)]]/MixedIngredientTable78[[#This Row],[Total Units]],"")</f>
        <v>2.1454545454545452E-2</v>
      </c>
    </row>
    <row r="7" spans="1:4">
      <c r="A7" s="21" t="s">
        <v>64</v>
      </c>
      <c r="B7" s="23" cm="1">
        <f t="array" aca="1" ref="B7" ca="1">IF(MixedIngredientTable78[[#This Row],[Name]]&lt;&gt;"",INDIRECT("'" &amp; MixedIngredientTable78[[#This Row],[Name]] &amp; "'!A5"),"")</f>
        <v>16.8</v>
      </c>
      <c r="C7" s="23" cm="1">
        <f t="array" aca="1" ref="C7" ca="1">IF(MixedIngredientTable78[[#This Row],[Name]]&lt;&gt;"",INDIRECT("'" &amp; MixedIngredientTable78[[#This Row],[Name]] &amp; "'!B5"),"")</f>
        <v>2400</v>
      </c>
      <c r="D7" s="21">
        <f ca="1">IF(MixedIngredientTable78[[#This Row],[Name]]&lt;&gt;"",MixedIngredientTable78[[#This Row],[Total Cost (RM)]]/MixedIngredientTable78[[#This Row],[Total Units]],"")</f>
        <v>7.0000000000000001E-3</v>
      </c>
    </row>
    <row r="8" spans="1:4">
      <c r="A8" s="21" t="s">
        <v>78</v>
      </c>
      <c r="B8" s="23" cm="1">
        <f t="array" aca="1" ref="B8" ca="1">IF(MixedIngredientTable78[[#This Row],[Name]]&lt;&gt;"",INDIRECT("'" &amp; MixedIngredientTable78[[#This Row],[Name]] &amp; "'!A5"),"")</f>
        <v>1.1499999999999999</v>
      </c>
      <c r="C8" s="23" cm="1">
        <f t="array" aca="1" ref="C8" ca="1">IF(MixedIngredientTable78[[#This Row],[Name]]&lt;&gt;"",INDIRECT("'" &amp; MixedIngredientTable78[[#This Row],[Name]] &amp; "'!B5"),"")</f>
        <v>170</v>
      </c>
      <c r="D8" s="21">
        <f ca="1">IF(MixedIngredientTable78[[#This Row],[Name]]&lt;&gt;"",MixedIngredientTable78[[#This Row],[Total Cost (RM)]]/MixedIngredientTable78[[#This Row],[Total Units]],"")</f>
        <v>6.7647058823529409E-3</v>
      </c>
    </row>
    <row r="9" spans="1:4">
      <c r="A9" s="21"/>
      <c r="B9" s="23"/>
      <c r="C9" s="23"/>
      <c r="D9" s="21"/>
    </row>
    <row r="10" spans="1:4">
      <c r="A10" s="21"/>
      <c r="B10" s="23"/>
      <c r="C10" s="23"/>
      <c r="D10" s="21"/>
    </row>
    <row r="11" spans="1:4">
      <c r="A11" s="21"/>
      <c r="B11" s="23"/>
      <c r="C11" s="23"/>
      <c r="D11" s="21"/>
    </row>
    <row r="12" spans="1:4">
      <c r="A12" s="21"/>
      <c r="B12" s="23"/>
      <c r="C12" s="23"/>
      <c r="D12" s="21"/>
    </row>
    <row r="13" spans="1:4">
      <c r="A13" s="21"/>
      <c r="B13" s="23"/>
      <c r="C13" s="23"/>
      <c r="D13" s="21"/>
    </row>
    <row r="14" spans="1:4">
      <c r="A14" s="21"/>
      <c r="B14" s="23"/>
      <c r="C14" s="23"/>
      <c r="D14" s="21"/>
    </row>
    <row r="15" spans="1:4">
      <c r="A15" s="21"/>
      <c r="B15" s="23"/>
      <c r="C15" s="23"/>
      <c r="D15" s="21"/>
    </row>
    <row r="16" spans="1:4">
      <c r="A16" s="21"/>
      <c r="B16" s="23"/>
      <c r="C16" s="23"/>
      <c r="D16" s="21"/>
    </row>
    <row r="17" spans="1:4">
      <c r="A17" s="21"/>
      <c r="B17" s="23"/>
      <c r="C17" s="23"/>
      <c r="D17" s="21"/>
    </row>
    <row r="18" spans="1:4">
      <c r="A18" s="21"/>
      <c r="B18" s="23"/>
      <c r="C18" s="23"/>
      <c r="D18" s="21"/>
    </row>
    <row r="19" spans="1:4">
      <c r="A19" s="21"/>
      <c r="B19" s="23"/>
      <c r="C19" s="23"/>
      <c r="D19" s="21"/>
    </row>
    <row r="20" spans="1:4">
      <c r="A20" s="21"/>
      <c r="B20" s="23"/>
      <c r="C20" s="23"/>
      <c r="D20" s="21"/>
    </row>
    <row r="21" spans="1:4">
      <c r="A21" s="21"/>
      <c r="B21" s="23"/>
      <c r="C21" s="23"/>
      <c r="D21" s="21"/>
    </row>
    <row r="22" spans="1:4">
      <c r="A22" s="21"/>
      <c r="B22" s="23"/>
      <c r="C22" s="23"/>
      <c r="D22" s="21"/>
    </row>
    <row r="23" spans="1:4">
      <c r="A23" s="21"/>
      <c r="B23" s="23"/>
      <c r="C23" s="23"/>
      <c r="D23" s="2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F328-AFED-48CD-A125-2256BA65E19A}">
  <sheetPr>
    <tabColor theme="8" tint="0.39997558519241921"/>
  </sheetPr>
  <dimension ref="A1:D18"/>
  <sheetViews>
    <sheetView workbookViewId="0">
      <selection activeCell="C11" sqref="C11"/>
    </sheetView>
  </sheetViews>
  <sheetFormatPr defaultColWidth="11" defaultRowHeight="16.5"/>
  <cols>
    <col min="1" max="1" width="19.75" bestFit="1" customWidth="1"/>
    <col min="2" max="2" width="36" bestFit="1" customWidth="1"/>
    <col min="3" max="3" width="17.75" bestFit="1" customWidth="1"/>
    <col min="4" max="4" width="15.25" bestFit="1" customWidth="1"/>
    <col min="5" max="32" width="9"/>
  </cols>
  <sheetData>
    <row r="1" spans="1:4">
      <c r="A1" s="1" t="s">
        <v>158</v>
      </c>
      <c r="B1" s="1" t="s">
        <v>215</v>
      </c>
    </row>
    <row r="2" spans="1:4">
      <c r="A2" s="1" t="s">
        <v>83</v>
      </c>
      <c r="B2" s="8" t="s">
        <v>216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15.9</v>
      </c>
      <c r="B6" s="68">
        <f ca="1">SUM(Table11419374147505356596265687174778183[[#Totals],[Total Cost (RM)]]+Table418361246495255586164677073768082[[#Totals],[Total Cost (RM)]])</f>
        <v>6.1668487114337571</v>
      </c>
      <c r="C6" s="39">
        <f ca="1">A6-B6</f>
        <v>9.7331512885662441</v>
      </c>
      <c r="D6" s="40">
        <f ca="1">(C6/A6)*100</f>
        <v>61.214787978404047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13</v>
      </c>
      <c r="B10" s="13">
        <v>1</v>
      </c>
      <c r="C10" s="13">
        <f ca="1">IF(A10&lt;&gt;"",VLOOKUP(Table11419374147505356596265687174778183[[#This Row],[Name]], SummaryProductTable[], 4, FALSE),"")</f>
        <v>1.8627452631578945</v>
      </c>
      <c r="D10" s="13">
        <f ca="1">IF(Table11419374147505356596265687174778183[[#This Row],[Name]]&lt;&gt;"",Table11419374147505356596265687174778183[[#This Row],[Quantity]]*Table11419374147505356596265687174778183[[#This Row],[Cost Per Unit (RM)]],"")</f>
        <v>1.8627452631578945</v>
      </c>
    </row>
    <row r="11" spans="1:4">
      <c r="A11" t="s">
        <v>40</v>
      </c>
      <c r="B11" s="13">
        <v>1</v>
      </c>
      <c r="C11" s="13">
        <f ca="1">IF(A11&lt;&gt;"",VLOOKUP(Table11419374147505356596265687174778183[[#This Row],[Name]], SummaryProductTable[], 4, FALSE),"")</f>
        <v>4.1261034482758623</v>
      </c>
      <c r="D11" s="13">
        <f ca="1">IF(Table11419374147505356596265687174778183[[#This Row],[Name]]&lt;&gt;"",Table11419374147505356596265687174778183[[#This Row],[Quantity]]*Table11419374147505356596265687174778183[[#This Row],[Cost Per Unit (RM)]],"")</f>
        <v>4.1261034482758623</v>
      </c>
    </row>
    <row r="12" spans="1:4">
      <c r="D12" s="13">
        <f ca="1">SUM(Table11419374147505356596265687174778183[Total Cost (RM)])</f>
        <v>5.9888487114337572</v>
      </c>
    </row>
    <row r="14" spans="1:4">
      <c r="A14" s="1" t="s">
        <v>161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s="17" t="s">
        <v>147</v>
      </c>
      <c r="B16" s="18">
        <v>1</v>
      </c>
      <c r="C16" s="18">
        <f>IF(A16&lt;&gt;"",VLOOKUP(Table418361246495255586164677073768082[[#This Row],[Name]], PackagingTable[], 6, FALSE),"")</f>
        <v>0.17800000000000002</v>
      </c>
      <c r="D16" s="18">
        <f>IF(Table418361246495255586164677073768082[[#This Row],[Name]]&lt;&gt;"",Table418361246495255586164677073768082[[#This Row],[Quantity]]*Table418361246495255586164677073768082[[#This Row],[Cost Per Unit (RM)]],"")</f>
        <v>0.17800000000000002</v>
      </c>
    </row>
    <row r="17" spans="1:4">
      <c r="A17" s="17"/>
      <c r="B17" s="18"/>
      <c r="C17" s="18" t="str">
        <f>IF(A17&lt;&gt;"",VLOOKUP(Table418361246495255586164677073768082[[#This Row],[Name]], PackagingTable[], 6, FALSE),"")</f>
        <v/>
      </c>
      <c r="D17" s="18" t="str">
        <f>IF(Table418361246495255586164677073768082[[#This Row],[Name]]&lt;&gt;"",Table418361246495255586164677073768082[[#This Row],[Quantity]]*Table418361246495255586164677073768082[[#This Row],[Cost Per Unit (RM)]],"")</f>
        <v/>
      </c>
    </row>
    <row r="18" spans="1:4">
      <c r="B18" s="13"/>
      <c r="C18" s="13"/>
      <c r="D18" s="13">
        <f>SUM(Table418361246495255586164677073768082[Total Cost (RM)])</f>
        <v>0.17800000000000002</v>
      </c>
    </row>
  </sheetData>
  <dataValidations count="2">
    <dataValidation type="list" allowBlank="1" showInputMessage="1" showErrorMessage="1" sqref="A10:A11" xr:uid="{355E7FB1-B881-4B42-A461-E7E93C1E6ADA}">
      <formula1>INDIRECT("SummaryProductTable[Name]")</formula1>
    </dataValidation>
    <dataValidation type="list" allowBlank="1" showInputMessage="1" showErrorMessage="1" sqref="A16:A17" xr:uid="{9EFDAD69-980C-412D-9788-564F9594348E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A719-8192-428B-B24C-25902D21EDE6}">
  <sheetPr>
    <tabColor theme="8" tint="0.39997558519241921"/>
  </sheetPr>
  <dimension ref="A1:D18"/>
  <sheetViews>
    <sheetView workbookViewId="0">
      <selection activeCell="C11" sqref="C11"/>
    </sheetView>
  </sheetViews>
  <sheetFormatPr defaultColWidth="11" defaultRowHeight="16.5"/>
  <cols>
    <col min="1" max="1" width="19.75" bestFit="1" customWidth="1"/>
    <col min="2" max="2" width="36" bestFit="1" customWidth="1"/>
    <col min="3" max="3" width="17.75" bestFit="1" customWidth="1"/>
    <col min="4" max="4" width="15.25" bestFit="1" customWidth="1"/>
    <col min="5" max="5" width="9"/>
  </cols>
  <sheetData>
    <row r="1" spans="1:4">
      <c r="A1" s="1" t="s">
        <v>158</v>
      </c>
      <c r="B1" s="1" t="s">
        <v>217</v>
      </c>
    </row>
    <row r="2" spans="1:4">
      <c r="A2" s="1" t="s">
        <v>83</v>
      </c>
      <c r="B2" s="8" t="s">
        <v>218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15.9</v>
      </c>
      <c r="B6" s="68">
        <f ca="1">SUM(Table114193741475053565962656871747781[[#Totals],[Total Cost (RM)]]+Table4183612464952555861646770737680[[#Totals],[Total Cost (RM)]])</f>
        <v>4.5484119298245611</v>
      </c>
      <c r="C6" s="39">
        <f ca="1">A6-B6</f>
        <v>11.351588070175438</v>
      </c>
      <c r="D6" s="40">
        <f ca="1">(C6/A6)*100</f>
        <v>71.393635661480744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13</v>
      </c>
      <c r="B10" s="13">
        <v>1</v>
      </c>
      <c r="C10" s="13">
        <f ca="1">IF(A10&lt;&gt;"",VLOOKUP(Table114193741475053565962656871747781[[#This Row],[Name]], SummaryProductTable[], 4, FALSE),"")</f>
        <v>1.8627452631578945</v>
      </c>
      <c r="D10" s="13">
        <f ca="1">IF(Table114193741475053565962656871747781[[#This Row],[Name]]&lt;&gt;"",Table114193741475053565962656871747781[[#This Row],[Quantity]]*Table114193741475053565962656871747781[[#This Row],[Cost Per Unit (RM)]],"")</f>
        <v>1.8627452631578945</v>
      </c>
    </row>
    <row r="11" spans="1:4">
      <c r="A11" t="s">
        <v>44</v>
      </c>
      <c r="B11" s="13">
        <v>1</v>
      </c>
      <c r="C11" s="13">
        <f ca="1">IF(A11&lt;&gt;"",VLOOKUP(Table114193741475053565962656871747781[[#This Row],[Name]], SummaryProductTable[], 4, FALSE),"")</f>
        <v>2.5076666666666667</v>
      </c>
      <c r="D11" s="13">
        <f ca="1">IF(Table114193741475053565962656871747781[[#This Row],[Name]]&lt;&gt;"",Table114193741475053565962656871747781[[#This Row],[Quantity]]*Table114193741475053565962656871747781[[#This Row],[Cost Per Unit (RM)]],"")</f>
        <v>2.5076666666666667</v>
      </c>
    </row>
    <row r="12" spans="1:4">
      <c r="D12" s="13">
        <f ca="1">SUM(Table114193741475053565962656871747781[Total Cost (RM)])</f>
        <v>4.3704119298245612</v>
      </c>
    </row>
    <row r="14" spans="1:4">
      <c r="A14" s="1" t="s">
        <v>161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s="17" t="s">
        <v>147</v>
      </c>
      <c r="B16" s="18">
        <v>1</v>
      </c>
      <c r="C16" s="18">
        <f>IF(A16&lt;&gt;"",VLOOKUP(Table4183612464952555861646770737680[[#This Row],[Name]], PackagingTable[], 6, FALSE),"")</f>
        <v>0.17800000000000002</v>
      </c>
      <c r="D16" s="18">
        <f>IF(Table4183612464952555861646770737680[[#This Row],[Name]]&lt;&gt;"",Table4183612464952555861646770737680[[#This Row],[Quantity]]*Table4183612464952555861646770737680[[#This Row],[Cost Per Unit (RM)]],"")</f>
        <v>0.17800000000000002</v>
      </c>
    </row>
    <row r="17" spans="1:4">
      <c r="A17" s="17"/>
      <c r="B17" s="18"/>
      <c r="C17" s="18" t="str">
        <f>IF(A17&lt;&gt;"",VLOOKUP(Table4183612464952555861646770737680[[#This Row],[Name]], PackagingTable[], 6, FALSE),"")</f>
        <v/>
      </c>
      <c r="D17" s="18" t="str">
        <f>IF(Table4183612464952555861646770737680[[#This Row],[Name]]&lt;&gt;"",Table4183612464952555861646770737680[[#This Row],[Quantity]]*Table4183612464952555861646770737680[[#This Row],[Cost Per Unit (RM)]],"")</f>
        <v/>
      </c>
    </row>
    <row r="18" spans="1:4">
      <c r="B18" s="13"/>
      <c r="C18" s="13"/>
      <c r="D18" s="13">
        <f>SUM(Table4183612464952555861646770737680[Total Cost (RM)])</f>
        <v>0.17800000000000002</v>
      </c>
    </row>
  </sheetData>
  <dataValidations count="2">
    <dataValidation type="list" allowBlank="1" showInputMessage="1" showErrorMessage="1" sqref="A16:A17" xr:uid="{3D9ADF80-EB30-4D5D-836C-E37B921BD02D}">
      <formula1>INDIRECT("PackagingTable[Name]")</formula1>
    </dataValidation>
    <dataValidation type="list" allowBlank="1" showInputMessage="1" showErrorMessage="1" sqref="A10 A11" xr:uid="{30DB5E7E-D6B1-481F-BDEA-FDA6A07C6750}">
      <formula1>INDIRECT("SummaryProductTable[Name]")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8E9B-8DB6-4E03-8C33-4777F70D5BE0}">
  <sheetPr>
    <tabColor theme="8" tint="0.39997558519241921"/>
  </sheetPr>
  <dimension ref="A1:D18"/>
  <sheetViews>
    <sheetView workbookViewId="0">
      <selection activeCell="C11" sqref="C11"/>
    </sheetView>
  </sheetViews>
  <sheetFormatPr defaultColWidth="11" defaultRowHeight="16.5"/>
  <cols>
    <col min="1" max="1" width="19.75" bestFit="1" customWidth="1"/>
    <col min="2" max="2" width="36" bestFit="1" customWidth="1"/>
    <col min="3" max="3" width="17.75" bestFit="1" customWidth="1"/>
    <col min="4" max="4" width="15.25" bestFit="1" customWidth="1"/>
    <col min="5" max="32" width="9"/>
  </cols>
  <sheetData>
    <row r="1" spans="1:4">
      <c r="A1" s="1" t="s">
        <v>158</v>
      </c>
      <c r="B1" s="1" t="s">
        <v>219</v>
      </c>
    </row>
    <row r="2" spans="1:4">
      <c r="A2" s="1" t="s">
        <v>83</v>
      </c>
      <c r="B2" s="8" t="s">
        <v>52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14.8</v>
      </c>
      <c r="B6" s="68">
        <f ca="1">SUM(Table11419374147505356596265687174778187[[#Totals],[Total Cost (RM)]]+Table418361246495255586164677073768086[[#Totals],[Total Cost (RM)]])</f>
        <v>3.9034905263157889</v>
      </c>
      <c r="C6" s="39">
        <f ca="1">A6-B6</f>
        <v>10.896509473684212</v>
      </c>
      <c r="D6" s="40">
        <f ca="1">(C6/A6)*100</f>
        <v>73.625064011379806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13</v>
      </c>
      <c r="B10" s="13">
        <v>2</v>
      </c>
      <c r="C10" s="13">
        <f ca="1">IF(A10&lt;&gt;"",VLOOKUP(Table11419374147505356596265687174778187[[#This Row],[Name]], SummaryProductTable[], 4, FALSE),"")</f>
        <v>1.8627452631578945</v>
      </c>
      <c r="D10" s="13">
        <f ca="1">IF(Table11419374147505356596265687174778187[[#This Row],[Name]]&lt;&gt;"",Table11419374147505356596265687174778187[[#This Row],[Quantity]]*Table11419374147505356596265687174778187[[#This Row],[Cost Per Unit (RM)]],"")</f>
        <v>3.7254905263157889</v>
      </c>
    </row>
    <row r="11" spans="1:4">
      <c r="B11" s="13"/>
      <c r="C11" s="13" t="str">
        <f>IF(A11&lt;&gt;"",VLOOKUP(Table11419374147505356596265687174778187[[#This Row],[Name]], SummaryProductTable[], 4, FALSE),"")</f>
        <v/>
      </c>
      <c r="D11" s="13" t="str">
        <f>IF(Table11419374147505356596265687174778187[[#This Row],[Name]]&lt;&gt;"",Table11419374147505356596265687174778187[[#This Row],[Quantity]]*Table11419374147505356596265687174778187[[#This Row],[Cost Per Unit (RM)]],"")</f>
        <v/>
      </c>
    </row>
    <row r="12" spans="1:4">
      <c r="D12" s="13">
        <f ca="1">SUM(Table11419374147505356596265687174778187[Total Cost (RM)])</f>
        <v>3.7254905263157889</v>
      </c>
    </row>
    <row r="14" spans="1:4">
      <c r="A14" s="1" t="s">
        <v>161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s="17" t="s">
        <v>147</v>
      </c>
      <c r="B16" s="18">
        <v>1</v>
      </c>
      <c r="C16" s="18">
        <f>IF(A16&lt;&gt;"",VLOOKUP(Table418361246495255586164677073768086[[#This Row],[Name]], PackagingTable[], 6, FALSE),"")</f>
        <v>0.17800000000000002</v>
      </c>
      <c r="D16" s="18">
        <f>IF(Table418361246495255586164677073768086[[#This Row],[Name]]&lt;&gt;"",Table418361246495255586164677073768086[[#This Row],[Quantity]]*Table418361246495255586164677073768086[[#This Row],[Cost Per Unit (RM)]],"")</f>
        <v>0.17800000000000002</v>
      </c>
    </row>
    <row r="17" spans="1:4">
      <c r="A17" s="17"/>
      <c r="B17" s="18"/>
      <c r="C17" s="18" t="str">
        <f>IF(A17&lt;&gt;"",VLOOKUP(Table418361246495255586164677073768086[[#This Row],[Name]], PackagingTable[], 6, FALSE),"")</f>
        <v/>
      </c>
      <c r="D17" s="18" t="str">
        <f>IF(Table418361246495255586164677073768086[[#This Row],[Name]]&lt;&gt;"",Table418361246495255586164677073768086[[#This Row],[Quantity]]*Table418361246495255586164677073768086[[#This Row],[Cost Per Unit (RM)]],"")</f>
        <v/>
      </c>
    </row>
    <row r="18" spans="1:4">
      <c r="B18" s="13"/>
      <c r="C18" s="13"/>
      <c r="D18" s="13">
        <f>SUM(Table418361246495255586164677073768086[Total Cost (RM)])</f>
        <v>0.17800000000000002</v>
      </c>
    </row>
  </sheetData>
  <dataValidations count="2">
    <dataValidation type="list" allowBlank="1" showInputMessage="1" showErrorMessage="1" sqref="A10:A11" xr:uid="{3AED0A66-D04E-442A-8B0E-64DEF955CB0D}">
      <formula1>INDIRECT("SummaryProductTable[Name]")</formula1>
    </dataValidation>
    <dataValidation type="list" allowBlank="1" showInputMessage="1" showErrorMessage="1" sqref="A16:A17" xr:uid="{495931F9-084A-4A97-A1AD-ED26FE10E69C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E8941-609B-49E5-9418-28BB49BC8E92}">
  <sheetPr>
    <tabColor theme="8" tint="0.39997558519241921"/>
  </sheetPr>
  <dimension ref="A1:D18"/>
  <sheetViews>
    <sheetView workbookViewId="0">
      <selection activeCell="C11" sqref="C11"/>
    </sheetView>
  </sheetViews>
  <sheetFormatPr defaultColWidth="11" defaultRowHeight="16.5"/>
  <cols>
    <col min="1" max="1" width="19.75" bestFit="1" customWidth="1"/>
    <col min="2" max="2" width="36" bestFit="1" customWidth="1"/>
    <col min="3" max="3" width="17.75" bestFit="1" customWidth="1"/>
    <col min="4" max="4" width="15.25" bestFit="1" customWidth="1"/>
    <col min="5" max="32" width="9"/>
  </cols>
  <sheetData>
    <row r="1" spans="1:4">
      <c r="A1" s="1" t="s">
        <v>158</v>
      </c>
      <c r="B1" s="1" t="s">
        <v>220</v>
      </c>
    </row>
    <row r="2" spans="1:4">
      <c r="A2" s="1" t="s">
        <v>83</v>
      </c>
      <c r="B2" s="8" t="s">
        <v>53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29.6</v>
      </c>
      <c r="B6" s="68">
        <f ca="1">SUM(Table1141937414750535659626568717477818789[[#Totals],[Total Cost (RM)]]+Table41836124649525558616467707376808688[[#Totals],[Total Cost (RM)]])</f>
        <v>7.8069810526315777</v>
      </c>
      <c r="C6" s="39">
        <f ca="1">A6-B6</f>
        <v>21.793018947368424</v>
      </c>
      <c r="D6" s="40">
        <f ca="1">(C6/A6)*100</f>
        <v>73.625064011379806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13</v>
      </c>
      <c r="B10" s="13">
        <v>4</v>
      </c>
      <c r="C10" s="13">
        <f ca="1">IF(A10&lt;&gt;"",VLOOKUP(Table1141937414750535659626568717477818789[[#This Row],[Name]], SummaryProductTable[], 4, FALSE),"")</f>
        <v>1.8627452631578945</v>
      </c>
      <c r="D10" s="13">
        <f ca="1">IF(Table1141937414750535659626568717477818789[[#This Row],[Name]]&lt;&gt;"",Table1141937414750535659626568717477818789[[#This Row],[Quantity]]*Table1141937414750535659626568717477818789[[#This Row],[Cost Per Unit (RM)]],"")</f>
        <v>7.4509810526315778</v>
      </c>
    </row>
    <row r="11" spans="1:4">
      <c r="B11" s="13"/>
      <c r="C11" s="13" t="str">
        <f>IF(A11&lt;&gt;"",VLOOKUP(Table1141937414750535659626568717477818789[[#This Row],[Name]], SummaryProductTable[], 4, FALSE),"")</f>
        <v/>
      </c>
      <c r="D11" s="13" t="str">
        <f>IF(Table1141937414750535659626568717477818789[[#This Row],[Name]]&lt;&gt;"",Table1141937414750535659626568717477818789[[#This Row],[Quantity]]*Table1141937414750535659626568717477818789[[#This Row],[Cost Per Unit (RM)]],"")</f>
        <v/>
      </c>
    </row>
    <row r="12" spans="1:4">
      <c r="D12" s="13">
        <f ca="1">SUM(Table1141937414750535659626568717477818789[Total Cost (RM)])</f>
        <v>7.4509810526315778</v>
      </c>
    </row>
    <row r="14" spans="1:4">
      <c r="A14" s="1" t="s">
        <v>161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s="17" t="s">
        <v>147</v>
      </c>
      <c r="B16" s="18">
        <v>2</v>
      </c>
      <c r="C16" s="18">
        <f>IF(A16&lt;&gt;"",VLOOKUP(Table41836124649525558616467707376808688[[#This Row],[Name]], PackagingTable[], 6, FALSE),"")</f>
        <v>0.17800000000000002</v>
      </c>
      <c r="D16" s="18">
        <f>IF(Table41836124649525558616467707376808688[[#This Row],[Name]]&lt;&gt;"",Table41836124649525558616467707376808688[[#This Row],[Quantity]]*Table41836124649525558616467707376808688[[#This Row],[Cost Per Unit (RM)]],"")</f>
        <v>0.35600000000000004</v>
      </c>
    </row>
    <row r="17" spans="1:4">
      <c r="A17" s="17"/>
      <c r="B17" s="18"/>
      <c r="C17" s="18" t="str">
        <f>IF(A17&lt;&gt;"",VLOOKUP(Table41836124649525558616467707376808688[[#This Row],[Name]], PackagingTable[], 6, FALSE),"")</f>
        <v/>
      </c>
      <c r="D17" s="18" t="str">
        <f>IF(Table41836124649525558616467707376808688[[#This Row],[Name]]&lt;&gt;"",Table41836124649525558616467707376808688[[#This Row],[Quantity]]*Table41836124649525558616467707376808688[[#This Row],[Cost Per Unit (RM)]],"")</f>
        <v/>
      </c>
    </row>
    <row r="18" spans="1:4">
      <c r="B18" s="13"/>
      <c r="C18" s="13"/>
      <c r="D18" s="13">
        <f>SUM(Table41836124649525558616467707376808688[Total Cost (RM)])</f>
        <v>0.35600000000000004</v>
      </c>
    </row>
  </sheetData>
  <dataValidations count="2">
    <dataValidation type="list" allowBlank="1" showInputMessage="1" showErrorMessage="1" sqref="A16:A17" xr:uid="{65A21F61-BD71-46AA-85B7-DA099FC37D3A}">
      <formula1>INDIRECT("PackagingTable[Name]")</formula1>
    </dataValidation>
    <dataValidation type="list" allowBlank="1" showInputMessage="1" showErrorMessage="1" sqref="A10:A11" xr:uid="{4C8BD4B9-9D4A-4568-A918-4BFF4C38F1E9}">
      <formula1>INDIRECT("SummaryProductTable[Name]")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6DF0-3484-49F1-8D50-747995B05C38}">
  <sheetPr>
    <tabColor theme="8" tint="0.39997558519241921"/>
  </sheetPr>
  <dimension ref="A1:D18"/>
  <sheetViews>
    <sheetView tabSelected="1" workbookViewId="0">
      <selection activeCell="C11" sqref="C11"/>
    </sheetView>
  </sheetViews>
  <sheetFormatPr defaultColWidth="11" defaultRowHeight="15.75"/>
  <cols>
    <col min="1" max="1" width="19.75" bestFit="1" customWidth="1"/>
    <col min="2" max="2" width="36" bestFit="1" customWidth="1"/>
    <col min="3" max="3" width="17.75" bestFit="1" customWidth="1"/>
    <col min="4" max="4" width="15.25" bestFit="1" customWidth="1"/>
    <col min="5" max="32" width="9"/>
  </cols>
  <sheetData>
    <row r="1" spans="1:4">
      <c r="A1" s="1" t="s">
        <v>158</v>
      </c>
      <c r="B1" s="1" t="s">
        <v>221</v>
      </c>
    </row>
    <row r="2" spans="1:4">
      <c r="A2" s="1" t="s">
        <v>83</v>
      </c>
      <c r="B2" s="8" t="s">
        <v>222</v>
      </c>
    </row>
    <row r="4" spans="1:4">
      <c r="A4" s="1" t="s">
        <v>84</v>
      </c>
    </row>
    <row r="5" spans="1:4">
      <c r="A5" s="3" t="s">
        <v>9</v>
      </c>
      <c r="B5" s="35" t="s">
        <v>10</v>
      </c>
      <c r="C5" s="36" t="s">
        <v>160</v>
      </c>
      <c r="D5" s="37" t="s">
        <v>12</v>
      </c>
    </row>
    <row r="6" spans="1:4">
      <c r="A6" s="2">
        <v>15.9</v>
      </c>
      <c r="B6" s="68">
        <f ca="1">SUM(Table1141937414750535659626568717477818789102[[#Totals],[Total Cost (RM)]]+Table41836124649525558616467707376808688101[[#Totals],[Total Cost (RM)]])</f>
        <v>3.9886652430270439</v>
      </c>
      <c r="C6" s="39">
        <f ca="1">A6-B6</f>
        <v>11.911334756972956</v>
      </c>
      <c r="D6" s="40">
        <f ca="1">(C6/A6)*100</f>
        <v>74.914055075301604</v>
      </c>
    </row>
    <row r="7" spans="1:4">
      <c r="D7" s="41"/>
    </row>
    <row r="8" spans="1:4">
      <c r="A8" s="1" t="s">
        <v>98</v>
      </c>
    </row>
    <row r="9" spans="1:4">
      <c r="A9" s="7" t="s">
        <v>7</v>
      </c>
      <c r="B9" s="5" t="s">
        <v>86</v>
      </c>
      <c r="C9" s="13" t="s">
        <v>74</v>
      </c>
      <c r="D9" s="13" t="s">
        <v>10</v>
      </c>
    </row>
    <row r="10" spans="1:4">
      <c r="A10" t="s">
        <v>13</v>
      </c>
      <c r="B10" s="13">
        <v>1</v>
      </c>
      <c r="C10" s="13">
        <f ca="1">IF(A10&lt;&gt;"",VLOOKUP(Table1141937414750535659626568717477818789102[[#This Row],[Name]], SummaryProductTable[], 4, FALSE),"")</f>
        <v>1.8627452631578945</v>
      </c>
      <c r="D10" s="13">
        <f ca="1">IF(Table1141937414750535659626568717477818789102[[#This Row],[Name]]&lt;&gt;"",Table1141937414750535659626568717477818789102[[#This Row],[Quantity]]*Table1141937414750535659626568717477818789102[[#This Row],[Cost Per Unit (RM)]],"")</f>
        <v>1.8627452631578945</v>
      </c>
    </row>
    <row r="11" spans="1:4">
      <c r="A11" t="s">
        <v>49</v>
      </c>
      <c r="B11" s="13">
        <v>1</v>
      </c>
      <c r="C11" s="13">
        <f ca="1">IF(A11&lt;&gt;"",VLOOKUP(Table1141937414750535659626568717477818789102[[#This Row],[Name]], SummaryProductTable[], 4, FALSE),"")</f>
        <v>1.7699199798691496</v>
      </c>
      <c r="D11" s="13">
        <f ca="1">IF(Table1141937414750535659626568717477818789102[[#This Row],[Name]]&lt;&gt;"",Table1141937414750535659626568717477818789102[[#This Row],[Quantity]]*Table1141937414750535659626568717477818789102[[#This Row],[Cost Per Unit (RM)]],"")</f>
        <v>1.7699199798691496</v>
      </c>
    </row>
    <row r="12" spans="1:4">
      <c r="D12" s="13">
        <f ca="1">SUM(Table1141937414750535659626568717477818789102[Total Cost (RM)])</f>
        <v>3.6326652430270441</v>
      </c>
    </row>
    <row r="14" spans="1:4">
      <c r="A14" s="1" t="s">
        <v>161</v>
      </c>
    </row>
    <row r="15" spans="1:4">
      <c r="A15" s="7" t="s">
        <v>7</v>
      </c>
      <c r="B15" s="5" t="s">
        <v>86</v>
      </c>
      <c r="C15" s="13" t="s">
        <v>74</v>
      </c>
      <c r="D15" s="13" t="s">
        <v>10</v>
      </c>
    </row>
    <row r="16" spans="1:4">
      <c r="A16" s="17" t="s">
        <v>147</v>
      </c>
      <c r="B16" s="18">
        <v>2</v>
      </c>
      <c r="C16" s="18">
        <f>IF(A16&lt;&gt;"",VLOOKUP(Table41836124649525558616467707376808688101[[#This Row],[Name]], PackagingTable[], 6, FALSE),"")</f>
        <v>0.17800000000000002</v>
      </c>
      <c r="D16" s="18">
        <f>IF(Table41836124649525558616467707376808688101[[#This Row],[Name]]&lt;&gt;"",Table41836124649525558616467707376808688101[[#This Row],[Quantity]]*Table41836124649525558616467707376808688101[[#This Row],[Cost Per Unit (RM)]],"")</f>
        <v>0.35600000000000004</v>
      </c>
    </row>
    <row r="17" spans="1:4">
      <c r="A17" s="17"/>
      <c r="B17" s="18"/>
      <c r="C17" s="18" t="str">
        <f>IF(A17&lt;&gt;"",VLOOKUP(Table41836124649525558616467707376808688101[[#This Row],[Name]], PackagingTable[], 6, FALSE),"")</f>
        <v/>
      </c>
      <c r="D17" s="18" t="str">
        <f>IF(Table41836124649525558616467707376808688101[[#This Row],[Name]]&lt;&gt;"",Table41836124649525558616467707376808688101[[#This Row],[Quantity]]*Table41836124649525558616467707376808688101[[#This Row],[Cost Per Unit (RM)]],"")</f>
        <v/>
      </c>
    </row>
    <row r="18" spans="1:4">
      <c r="B18" s="13"/>
      <c r="C18" s="13"/>
      <c r="D18" s="13">
        <f>SUM(Table41836124649525558616467707376808688101[Total Cost (RM)])</f>
        <v>0.35600000000000004</v>
      </c>
    </row>
  </sheetData>
  <dataValidations count="2">
    <dataValidation type="list" allowBlank="1" showInputMessage="1" showErrorMessage="1" sqref="A10:A11" xr:uid="{5F5A91EB-EB82-4A5E-8E99-C5F77D66BB8C}">
      <formula1>INDIRECT("SummaryProductTable[Name]")</formula1>
    </dataValidation>
    <dataValidation type="list" allowBlank="1" showInputMessage="1" showErrorMessage="1" sqref="A16:A17" xr:uid="{3ED0579D-3A0C-4FE1-BC3B-EED13BE6AFC1}">
      <formula1>INDIRECT("PackagingTable[Name]")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Kokonuts</dc:creator>
  <cp:keywords/>
  <dc:description/>
  <cp:lastModifiedBy/>
  <cp:revision/>
  <dcterms:created xsi:type="dcterms:W3CDTF">2025-02-08T09:44:09Z</dcterms:created>
  <dcterms:modified xsi:type="dcterms:W3CDTF">2026-05-05T05:21:10Z</dcterms:modified>
  <cp:category/>
  <cp:contentStatus/>
</cp:coreProperties>
</file>