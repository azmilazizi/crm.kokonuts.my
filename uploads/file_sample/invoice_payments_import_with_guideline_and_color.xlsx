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zmil/Downloads/"/>
    </mc:Choice>
  </mc:AlternateContent>
  <xr:revisionPtr revIDLastSave="0" documentId="13_ncr:1_{974B7494-C300-234B-8B9D-4B0CC427A524}" xr6:coauthVersionLast="47" xr6:coauthVersionMax="47" xr10:uidLastSave="{00000000-0000-0000-0000-000000000000}"/>
  <bookViews>
    <workbookView xWindow="0" yWindow="740" windowWidth="29400" windowHeight="17160" xr2:uid="{00000000-000D-0000-FFFF-FFFF00000000}"/>
  </bookViews>
  <sheets>
    <sheet name="InvoicePay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  <c r="E185" i="1"/>
  <c r="D178" i="1"/>
  <c r="E178" i="1" s="1"/>
  <c r="D173" i="1"/>
  <c r="E173" i="1" s="1"/>
  <c r="D133" i="1"/>
  <c r="E133" i="1" s="1"/>
  <c r="E120" i="1"/>
  <c r="D120" i="1"/>
  <c r="D98" i="1"/>
  <c r="E98" i="1" s="1"/>
  <c r="D81" i="1"/>
  <c r="E81" i="1" s="1"/>
  <c r="D75" i="1"/>
  <c r="E75" i="1" l="1"/>
</calcChain>
</file>

<file path=xl/sharedStrings.xml><?xml version="1.0" encoding="utf-8"?>
<sst xmlns="http://schemas.openxmlformats.org/spreadsheetml/2006/main" count="87" uniqueCount="60">
  <si>
    <t>INVOICE &amp; PAYMENT IMPORT GUIDELINE</t>
  </si>
  <si>
    <t>DATE FORMAT:</t>
  </si>
  <si>
    <t>- date &amp; duedate must be YYYY-MM-DD</t>
  </si>
  <si>
    <t>DEFAULTS (if left blank):</t>
  </si>
  <si>
    <t>- currency_id = 1</t>
  </si>
  <si>
    <t>- sale_agent (warehouse_id) = 1</t>
  </si>
  <si>
    <t>PAYMENT MODE ID:</t>
  </si>
  <si>
    <t>1 = Bank Transfer</t>
  </si>
  <si>
    <t>2 = DuitNow QR</t>
  </si>
  <si>
    <t>3 = Credit / Debit Card</t>
  </si>
  <si>
    <t>4 = Cash</t>
  </si>
  <si>
    <t>5 = Personal Fund - Azmil</t>
  </si>
  <si>
    <t>6 = Personal Fund - Fakrul</t>
  </si>
  <si>
    <t>9 = ShopeeFood</t>
  </si>
  <si>
    <t>COLOR LEGEND (HEADER):</t>
  </si>
  <si>
    <t>- ORANGE = Invoice row only</t>
  </si>
  <si>
    <t>- BLUE = Payment row only</t>
  </si>
  <si>
    <t>date</t>
  </si>
  <si>
    <t>duedate</t>
  </si>
  <si>
    <t>currency_id</t>
  </si>
  <si>
    <t>subtotal</t>
  </si>
  <si>
    <t>total</t>
  </si>
  <si>
    <t>discount_total</t>
  </si>
  <si>
    <t>sale_agent</t>
  </si>
  <si>
    <t>payment_amount</t>
  </si>
  <si>
    <t>paymentmode_id</t>
  </si>
  <si>
    <t>payment_note</t>
  </si>
  <si>
    <t>8 = Foodpanda</t>
  </si>
  <si>
    <t>7 = GrabFood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</si>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</sst>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4B084"/>
      </patternFill>
    </fill>
    <fill>
      <patternFill patternType="solid">
        <fgColor rgb="FF9BC2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1"/>
  <sheetViews>
    <sheetView tabSelected="1" zoomScaleNormal="100" workbookViewId="0">
      <pane ySplit="25" topLeftCell="A26" activePane="bottomLeft" state="frozen"/>
      <selection pane="bottomLeft" activeCell="A9" sqref="A9:L9"/>
    </sheetView>
  </sheetViews>
  <sheetFormatPr baseColWidth="10" defaultColWidth="8.83203125" defaultRowHeight="15" x14ac:dyDescent="0.2"/>
  <cols>
    <col min="1" max="1" width="18" customWidth="1"/>
    <col min="2" max="2" width="22" customWidth="1"/>
    <col min="3" max="5" width="12" customWidth="1"/>
    <col min="6" max="7" width="14" customWidth="1"/>
    <col min="8" max="8" width="16" customWidth="1"/>
    <col min="9" max="9" width="16.1640625" customWidth="1"/>
    <col min="10" max="11" width="16" customWidth="1"/>
    <col min="12" max="12" width="26" customWidth="1"/>
  </cols>
  <sheetData>
    <row r="1" spans="1:12" ht="19" x14ac:dyDescent="0.2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2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2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x14ac:dyDescent="0.2">
      <c r="A6" s="3" t="s">
        <v>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2">
      <c r="A7" s="3" t="s">
        <v>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2">
      <c r="A8" s="3" t="s">
        <v>5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x14ac:dyDescent="0.2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2">
      <c r="A10" s="3" t="s">
        <v>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x14ac:dyDescent="0.2">
      <c r="A11" s="3" t="s">
        <v>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2">
      <c r="A12" s="3" t="s">
        <v>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2">
      <c r="A13" s="3" t="s">
        <v>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2">
      <c r="A14" s="3" t="s">
        <v>10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2">
      <c r="A15" s="3" t="s">
        <v>11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2">
      <c r="A16" s="3" t="s">
        <v>12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2">
      <c r="A17" s="3" t="s">
        <v>28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2">
      <c r="A18" s="3" t="s">
        <v>27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2">
      <c r="A19" s="3" t="s">
        <v>13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2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x14ac:dyDescent="0.2">
      <c r="A21" s="3" t="s">
        <v>14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2">
      <c r="A22" s="3" t="s">
        <v>15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x14ac:dyDescent="0.2">
      <c r="A23" s="3" t="s">
        <v>16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5" spans="1:12" ht="16" x14ac:dyDescent="0.2">
      <c r="A25" s="1" t="s">
        <v>17</v>
      </c>
      <c r="B25" s="1" t="s">
        <v>18</v>
      </c>
      <c r="C25" s="1" t="s">
        <v>19</v>
      </c>
      <c r="D25" s="1" t="s">
        <v>20</v>
      </c>
      <c r="E25" s="1" t="s">
        <v>21</v>
      </c>
      <c r="F25" s="1" t="s">
        <v>22</v>
      </c>
      <c r="G25" s="1" t="s">
        <v>23</v>
      </c>
      <c r="H25" s="2" t="s">
        <v>24</v>
      </c>
      <c r="I25" s="2" t="s">
        <v>25</v>
      </c>
      <c r="J25" s="2" t="s">
        <v>26</v>
      </c>
    </row>
    <row r="26" spans="1:12" x14ac:dyDescent="0.2">
      <c r="A26" t="s">
        <v>29</v>
      </c>
      <c r="B26" t="s">
        <v>30</v>
      </c>
      <c r="C26">
        <v>1</v>
      </c>
      <c r="D26">
        <v>381.72</v>
      </c>
      <c r="E26">
        <f>D26</f>
        <v>381.72</v>
      </c>
      <c r="F26">
        <v>0</v>
      </c>
      <c r="G26">
        <v>1</v>
      </c>
    </row>
    <row r="27" spans="1:12" x14ac:dyDescent="0.2">
      <c r="H27">
        <v>81.400000000000006</v>
      </c>
      <c r="I27">
        <v>7</v>
      </c>
    </row>
    <row r="28" spans="1:12" x14ac:dyDescent="0.2">
      <c r="H28">
        <v>63.6</v>
      </c>
      <c r="I28">
        <v>3</v>
      </c>
    </row>
    <row r="29" spans="1:12" x14ac:dyDescent="0.2">
      <c r="H29">
        <v>138.80000000000001</v>
      </c>
      <c r="I29">
        <v>4</v>
      </c>
    </row>
    <row r="30" spans="1:12" x14ac:dyDescent="0.2">
      <c r="H30">
        <v>54.4</v>
      </c>
      <c r="I30">
        <v>2</v>
      </c>
    </row>
    <row r="31" spans="1:12" x14ac:dyDescent="0.2">
      <c r="H31">
        <v>43.52</v>
      </c>
      <c r="I31">
        <v>8</v>
      </c>
    </row>
    <row r="32" spans="1:12" x14ac:dyDescent="0.2">
      <c r="A32" t="s">
        <v>30</v>
      </c>
      <c r="B32" t="s">
        <v>31</v>
      </c>
      <c r="C32">
        <v>1</v>
      </c>
      <c r="D32">
        <v>280.3</v>
      </c>
      <c r="E32">
        <v>280.3</v>
      </c>
      <c r="F32">
        <v>0</v>
      </c>
      <c r="G32">
        <v>1</v>
      </c>
    </row>
    <row r="33" spans="1:9" x14ac:dyDescent="0.2">
      <c r="H33">
        <v>152.9</v>
      </c>
      <c r="I33">
        <v>3</v>
      </c>
    </row>
    <row r="34" spans="1:9" x14ac:dyDescent="0.2">
      <c r="H34">
        <v>46.7</v>
      </c>
      <c r="I34">
        <v>7</v>
      </c>
    </row>
    <row r="35" spans="1:9" x14ac:dyDescent="0.2">
      <c r="H35">
        <v>70.8</v>
      </c>
      <c r="I35">
        <v>4</v>
      </c>
    </row>
    <row r="36" spans="1:9" x14ac:dyDescent="0.2">
      <c r="H36">
        <v>9.9</v>
      </c>
      <c r="I36">
        <v>2</v>
      </c>
    </row>
    <row r="37" spans="1:9" x14ac:dyDescent="0.2">
      <c r="A37" t="s">
        <v>31</v>
      </c>
      <c r="B37" t="s">
        <v>32</v>
      </c>
      <c r="C37">
        <v>1</v>
      </c>
      <c r="D37">
        <v>329.14</v>
      </c>
      <c r="E37">
        <v>329.14</v>
      </c>
      <c r="F37">
        <v>0</v>
      </c>
      <c r="G37">
        <v>1</v>
      </c>
    </row>
    <row r="38" spans="1:9" x14ac:dyDescent="0.2">
      <c r="H38">
        <v>59.5</v>
      </c>
      <c r="I38">
        <v>2</v>
      </c>
    </row>
    <row r="39" spans="1:9" x14ac:dyDescent="0.2">
      <c r="H39">
        <v>94</v>
      </c>
      <c r="I39">
        <v>4</v>
      </c>
    </row>
    <row r="40" spans="1:9" x14ac:dyDescent="0.2">
      <c r="H40">
        <v>101.34</v>
      </c>
      <c r="I40">
        <v>3</v>
      </c>
    </row>
    <row r="41" spans="1:9" x14ac:dyDescent="0.2">
      <c r="H41">
        <v>74.3</v>
      </c>
      <c r="I41">
        <v>7</v>
      </c>
    </row>
    <row r="42" spans="1:9" x14ac:dyDescent="0.2">
      <c r="A42" t="s">
        <v>32</v>
      </c>
      <c r="B42" t="s">
        <v>33</v>
      </c>
      <c r="C42">
        <v>1</v>
      </c>
      <c r="D42">
        <v>310.06</v>
      </c>
      <c r="E42">
        <v>310.06</v>
      </c>
      <c r="F42">
        <v>0</v>
      </c>
      <c r="G42">
        <v>1</v>
      </c>
    </row>
    <row r="43" spans="1:9" x14ac:dyDescent="0.2">
      <c r="H43">
        <v>148.26</v>
      </c>
      <c r="I43">
        <v>2</v>
      </c>
    </row>
    <row r="44" spans="1:9" x14ac:dyDescent="0.2">
      <c r="H44">
        <v>59.1</v>
      </c>
      <c r="I44">
        <v>3</v>
      </c>
    </row>
    <row r="45" spans="1:9" x14ac:dyDescent="0.2">
      <c r="H45">
        <v>38.4</v>
      </c>
      <c r="I45">
        <v>8</v>
      </c>
    </row>
    <row r="46" spans="1:9" x14ac:dyDescent="0.2">
      <c r="H46">
        <v>64.3</v>
      </c>
      <c r="I46">
        <v>4</v>
      </c>
    </row>
    <row r="47" spans="1:9" x14ac:dyDescent="0.2">
      <c r="A47" t="s">
        <v>33</v>
      </c>
      <c r="B47" t="s">
        <v>34</v>
      </c>
      <c r="C47">
        <v>1</v>
      </c>
      <c r="D47">
        <v>164.51</v>
      </c>
      <c r="E47">
        <v>164.51</v>
      </c>
      <c r="F47">
        <v>0</v>
      </c>
      <c r="G47">
        <v>1</v>
      </c>
    </row>
    <row r="48" spans="1:9" x14ac:dyDescent="0.2">
      <c r="H48">
        <v>44.21</v>
      </c>
      <c r="I48">
        <v>8</v>
      </c>
    </row>
    <row r="49" spans="1:9" x14ac:dyDescent="0.2">
      <c r="H49">
        <v>18.2</v>
      </c>
      <c r="I49">
        <v>7</v>
      </c>
    </row>
    <row r="50" spans="1:9" x14ac:dyDescent="0.2">
      <c r="H50">
        <v>74.400000000000006</v>
      </c>
      <c r="I50">
        <v>4</v>
      </c>
    </row>
    <row r="51" spans="1:9" x14ac:dyDescent="0.2">
      <c r="H51">
        <v>17.8</v>
      </c>
      <c r="I51">
        <v>2</v>
      </c>
    </row>
    <row r="52" spans="1:9" x14ac:dyDescent="0.2">
      <c r="H52">
        <v>9.9</v>
      </c>
      <c r="I52">
        <v>3</v>
      </c>
    </row>
    <row r="53" spans="1:9" x14ac:dyDescent="0.2">
      <c r="A53" t="s">
        <v>35</v>
      </c>
      <c r="B53" t="s">
        <v>36</v>
      </c>
      <c r="C53">
        <v>1</v>
      </c>
      <c r="D53">
        <v>365.6</v>
      </c>
      <c r="E53">
        <v>365.6</v>
      </c>
      <c r="F53">
        <v>0</v>
      </c>
      <c r="G53">
        <v>1</v>
      </c>
    </row>
    <row r="54" spans="1:9" x14ac:dyDescent="0.2">
      <c r="H54">
        <v>157.19999999999999</v>
      </c>
      <c r="I54">
        <v>4</v>
      </c>
    </row>
    <row r="55" spans="1:9" x14ac:dyDescent="0.2">
      <c r="H55">
        <v>137.19999999999999</v>
      </c>
      <c r="I55">
        <v>2</v>
      </c>
    </row>
    <row r="56" spans="1:9" x14ac:dyDescent="0.2">
      <c r="H56">
        <v>33.6</v>
      </c>
      <c r="I56">
        <v>7</v>
      </c>
    </row>
    <row r="57" spans="1:9" x14ac:dyDescent="0.2">
      <c r="H57">
        <v>37.6</v>
      </c>
      <c r="I57">
        <v>3</v>
      </c>
    </row>
    <row r="58" spans="1:9" x14ac:dyDescent="0.2">
      <c r="A58" t="s">
        <v>36</v>
      </c>
      <c r="B58" t="s">
        <v>37</v>
      </c>
      <c r="C58">
        <v>1</v>
      </c>
      <c r="D58">
        <v>388.3</v>
      </c>
      <c r="E58">
        <v>388.3</v>
      </c>
      <c r="F58">
        <v>0</v>
      </c>
      <c r="G58">
        <v>1</v>
      </c>
    </row>
    <row r="59" spans="1:9" x14ac:dyDescent="0.2">
      <c r="H59">
        <v>52.5</v>
      </c>
      <c r="I59">
        <v>3</v>
      </c>
    </row>
    <row r="60" spans="1:9" x14ac:dyDescent="0.2">
      <c r="H60">
        <v>60.8</v>
      </c>
      <c r="I60">
        <v>8</v>
      </c>
    </row>
    <row r="61" spans="1:9" x14ac:dyDescent="0.2">
      <c r="H61">
        <v>57</v>
      </c>
      <c r="I61">
        <v>7</v>
      </c>
    </row>
    <row r="62" spans="1:9" x14ac:dyDescent="0.2">
      <c r="H62">
        <v>139.1</v>
      </c>
      <c r="I62">
        <v>4</v>
      </c>
    </row>
    <row r="63" spans="1:9" x14ac:dyDescent="0.2">
      <c r="H63">
        <v>78.900000000000006</v>
      </c>
      <c r="I63">
        <v>2</v>
      </c>
    </row>
    <row r="64" spans="1:9" x14ac:dyDescent="0.2">
      <c r="A64" t="s">
        <v>37</v>
      </c>
      <c r="B64" t="s">
        <v>38</v>
      </c>
      <c r="C64">
        <v>1</v>
      </c>
      <c r="D64">
        <v>517.54999999999995</v>
      </c>
      <c r="E64">
        <v>517.54999999999995</v>
      </c>
      <c r="F64">
        <v>0</v>
      </c>
      <c r="G64">
        <v>1</v>
      </c>
    </row>
    <row r="65" spans="1:9" x14ac:dyDescent="0.2">
      <c r="H65">
        <v>14.85</v>
      </c>
      <c r="I65">
        <v>8</v>
      </c>
    </row>
    <row r="66" spans="1:9" x14ac:dyDescent="0.2">
      <c r="H66">
        <v>63.4</v>
      </c>
      <c r="I66">
        <v>2</v>
      </c>
    </row>
    <row r="67" spans="1:9" x14ac:dyDescent="0.2">
      <c r="H67">
        <v>297.89999999999998</v>
      </c>
      <c r="I67">
        <v>4</v>
      </c>
    </row>
    <row r="68" spans="1:9" x14ac:dyDescent="0.2">
      <c r="H68">
        <v>35.700000000000003</v>
      </c>
      <c r="I68">
        <v>7</v>
      </c>
    </row>
    <row r="69" spans="1:9" x14ac:dyDescent="0.2">
      <c r="H69">
        <v>105.7</v>
      </c>
      <c r="I69">
        <v>3</v>
      </c>
    </row>
    <row r="70" spans="1:9" x14ac:dyDescent="0.2">
      <c r="A70" t="s">
        <v>38</v>
      </c>
      <c r="B70" t="s">
        <v>39</v>
      </c>
      <c r="C70">
        <v>1</v>
      </c>
      <c r="D70">
        <v>166.62</v>
      </c>
      <c r="E70">
        <v>166.62</v>
      </c>
      <c r="F70">
        <v>0</v>
      </c>
      <c r="G70">
        <v>1</v>
      </c>
    </row>
    <row r="71" spans="1:9" x14ac:dyDescent="0.2">
      <c r="H71">
        <v>24.8</v>
      </c>
      <c r="I71">
        <v>2</v>
      </c>
    </row>
    <row r="72" spans="1:9" x14ac:dyDescent="0.2">
      <c r="H72">
        <v>39.6</v>
      </c>
      <c r="I72">
        <v>3</v>
      </c>
    </row>
    <row r="73" spans="1:9" x14ac:dyDescent="0.2">
      <c r="H73">
        <v>84.6</v>
      </c>
      <c r="I73">
        <v>4</v>
      </c>
    </row>
    <row r="74" spans="1:9" x14ac:dyDescent="0.2">
      <c r="H74">
        <v>17.62</v>
      </c>
      <c r="I74">
        <v>8</v>
      </c>
    </row>
    <row r="75" spans="1:9" x14ac:dyDescent="0.2">
      <c r="A75" t="s">
        <v>39</v>
      </c>
      <c r="B75" t="s">
        <v>40</v>
      </c>
      <c r="C75">
        <v>1</v>
      </c>
      <c r="D75">
        <f>SUM(H76:H80)</f>
        <v>301.18</v>
      </c>
      <c r="E75">
        <f>D75</f>
        <v>301.18</v>
      </c>
      <c r="F75">
        <v>0</v>
      </c>
      <c r="G75">
        <v>1</v>
      </c>
    </row>
    <row r="76" spans="1:9" x14ac:dyDescent="0.2">
      <c r="H76">
        <v>167</v>
      </c>
      <c r="I76">
        <v>2</v>
      </c>
    </row>
    <row r="77" spans="1:9" x14ac:dyDescent="0.2">
      <c r="H77">
        <v>29.7</v>
      </c>
      <c r="I77">
        <v>7</v>
      </c>
    </row>
    <row r="78" spans="1:9" x14ac:dyDescent="0.2">
      <c r="H78">
        <v>12.4</v>
      </c>
      <c r="I78">
        <v>9</v>
      </c>
    </row>
    <row r="79" spans="1:9" x14ac:dyDescent="0.2">
      <c r="H79">
        <v>45.08</v>
      </c>
      <c r="I79">
        <v>8</v>
      </c>
    </row>
    <row r="80" spans="1:9" x14ac:dyDescent="0.2">
      <c r="H80">
        <v>47</v>
      </c>
      <c r="I80">
        <v>4</v>
      </c>
    </row>
    <row r="81" spans="1:9" x14ac:dyDescent="0.2">
      <c r="A81" t="s">
        <v>40</v>
      </c>
      <c r="B81" t="s">
        <v>41</v>
      </c>
      <c r="C81">
        <v>1</v>
      </c>
      <c r="D81">
        <f>SUM(H82:H86)</f>
        <v>287.45</v>
      </c>
      <c r="E81">
        <f>D81</f>
        <v>287.45</v>
      </c>
      <c r="F81">
        <v>0</v>
      </c>
      <c r="G81">
        <v>1</v>
      </c>
    </row>
    <row r="82" spans="1:9" x14ac:dyDescent="0.2">
      <c r="H82">
        <v>63.5</v>
      </c>
      <c r="I82">
        <v>4</v>
      </c>
    </row>
    <row r="83" spans="1:9" x14ac:dyDescent="0.2">
      <c r="H83">
        <v>21.8</v>
      </c>
      <c r="I83">
        <v>3</v>
      </c>
    </row>
    <row r="84" spans="1:9" x14ac:dyDescent="0.2">
      <c r="H84">
        <v>21.2</v>
      </c>
      <c r="I84">
        <v>9</v>
      </c>
    </row>
    <row r="85" spans="1:9" x14ac:dyDescent="0.2">
      <c r="H85">
        <v>68.31</v>
      </c>
      <c r="I85">
        <v>8</v>
      </c>
    </row>
    <row r="86" spans="1:9" x14ac:dyDescent="0.2">
      <c r="H86">
        <v>112.64</v>
      </c>
      <c r="I86">
        <v>2</v>
      </c>
    </row>
    <row r="87" spans="1:9" x14ac:dyDescent="0.2">
      <c r="A87" t="s">
        <v>41</v>
      </c>
      <c r="B87" t="s">
        <v>42</v>
      </c>
      <c r="C87">
        <v>1</v>
      </c>
      <c r="D87">
        <v>201</v>
      </c>
      <c r="E87">
        <v>201</v>
      </c>
      <c r="F87">
        <v>0</v>
      </c>
      <c r="G87">
        <v>1</v>
      </c>
    </row>
    <row r="88" spans="1:9" x14ac:dyDescent="0.2">
      <c r="H88">
        <v>38.299999999999997</v>
      </c>
      <c r="I88">
        <v>3</v>
      </c>
    </row>
    <row r="89" spans="1:9" x14ac:dyDescent="0.2">
      <c r="H89">
        <v>91.2</v>
      </c>
      <c r="I89">
        <v>2</v>
      </c>
    </row>
    <row r="90" spans="1:9" x14ac:dyDescent="0.2">
      <c r="H90">
        <v>18</v>
      </c>
      <c r="I90">
        <v>7</v>
      </c>
    </row>
    <row r="91" spans="1:9" x14ac:dyDescent="0.2">
      <c r="H91">
        <v>8.9</v>
      </c>
      <c r="I91">
        <v>8</v>
      </c>
    </row>
    <row r="92" spans="1:9" x14ac:dyDescent="0.2">
      <c r="H92">
        <v>44.6</v>
      </c>
      <c r="I92">
        <v>4</v>
      </c>
    </row>
    <row r="93" spans="1:9" x14ac:dyDescent="0.2">
      <c r="A93" t="s">
        <v>42</v>
      </c>
      <c r="B93" t="s">
        <v>43</v>
      </c>
      <c r="C93">
        <v>1</v>
      </c>
      <c r="D93">
        <v>144.9</v>
      </c>
      <c r="E93">
        <v>144.9</v>
      </c>
      <c r="F93">
        <v>0</v>
      </c>
      <c r="G93">
        <v>1</v>
      </c>
    </row>
    <row r="94" spans="1:9" x14ac:dyDescent="0.2">
      <c r="H94">
        <v>61.2</v>
      </c>
      <c r="I94">
        <v>7</v>
      </c>
    </row>
    <row r="95" spans="1:9" x14ac:dyDescent="0.2">
      <c r="H95">
        <v>41.8</v>
      </c>
      <c r="I95">
        <v>2</v>
      </c>
    </row>
    <row r="96" spans="1:9" x14ac:dyDescent="0.2">
      <c r="H96">
        <v>22.6</v>
      </c>
      <c r="I96">
        <v>4</v>
      </c>
    </row>
    <row r="97" spans="1:9" x14ac:dyDescent="0.2">
      <c r="H97">
        <v>19.3</v>
      </c>
      <c r="I97">
        <v>3</v>
      </c>
    </row>
    <row r="98" spans="1:9" x14ac:dyDescent="0.2">
      <c r="A98" t="s">
        <v>43</v>
      </c>
      <c r="B98" t="s">
        <v>44</v>
      </c>
      <c r="C98">
        <v>1</v>
      </c>
      <c r="D98">
        <f>SUM(H99:H102)</f>
        <v>229.8</v>
      </c>
      <c r="E98">
        <f>D98</f>
        <v>229.8</v>
      </c>
      <c r="F98">
        <v>0</v>
      </c>
      <c r="G98">
        <v>1</v>
      </c>
    </row>
    <row r="99" spans="1:9" x14ac:dyDescent="0.2">
      <c r="H99">
        <v>121.3</v>
      </c>
      <c r="I99">
        <v>4</v>
      </c>
    </row>
    <row r="100" spans="1:9" x14ac:dyDescent="0.2">
      <c r="H100">
        <v>71.8</v>
      </c>
      <c r="I100">
        <v>2</v>
      </c>
    </row>
    <row r="101" spans="1:9" x14ac:dyDescent="0.2">
      <c r="H101">
        <v>16.8</v>
      </c>
      <c r="I101">
        <v>9</v>
      </c>
    </row>
    <row r="102" spans="1:9" x14ac:dyDescent="0.2">
      <c r="H102">
        <v>19.899999999999999</v>
      </c>
      <c r="I102">
        <v>3</v>
      </c>
    </row>
    <row r="103" spans="1:9" x14ac:dyDescent="0.2">
      <c r="A103" t="s">
        <v>44</v>
      </c>
      <c r="B103" t="s">
        <v>45</v>
      </c>
      <c r="C103">
        <v>1</v>
      </c>
      <c r="D103">
        <v>214.22</v>
      </c>
      <c r="E103">
        <v>214.22</v>
      </c>
      <c r="F103">
        <v>0</v>
      </c>
      <c r="G103">
        <v>1</v>
      </c>
    </row>
    <row r="104" spans="1:9" x14ac:dyDescent="0.2">
      <c r="H104">
        <v>47.5</v>
      </c>
      <c r="I104">
        <v>4</v>
      </c>
    </row>
    <row r="105" spans="1:9" x14ac:dyDescent="0.2">
      <c r="H105">
        <v>29.7</v>
      </c>
      <c r="I105">
        <v>7</v>
      </c>
    </row>
    <row r="106" spans="1:9" x14ac:dyDescent="0.2">
      <c r="H106">
        <v>70.5</v>
      </c>
      <c r="I106">
        <v>3</v>
      </c>
    </row>
    <row r="107" spans="1:9" x14ac:dyDescent="0.2">
      <c r="H107">
        <v>17.920000000000002</v>
      </c>
      <c r="I107">
        <v>8</v>
      </c>
    </row>
    <row r="108" spans="1:9" x14ac:dyDescent="0.2">
      <c r="H108">
        <v>48.6</v>
      </c>
      <c r="I108">
        <v>2</v>
      </c>
    </row>
    <row r="109" spans="1:9" x14ac:dyDescent="0.2">
      <c r="A109" t="s">
        <v>45</v>
      </c>
      <c r="B109" t="s">
        <v>46</v>
      </c>
      <c r="C109">
        <v>1</v>
      </c>
      <c r="D109">
        <v>203.8</v>
      </c>
      <c r="E109">
        <v>203.8</v>
      </c>
      <c r="F109">
        <v>0</v>
      </c>
      <c r="G109">
        <v>1</v>
      </c>
    </row>
    <row r="110" spans="1:9" x14ac:dyDescent="0.2">
      <c r="H110">
        <v>18.3</v>
      </c>
      <c r="I110">
        <v>7</v>
      </c>
    </row>
    <row r="111" spans="1:9" x14ac:dyDescent="0.2">
      <c r="H111">
        <v>104.4</v>
      </c>
      <c r="I111">
        <v>2</v>
      </c>
    </row>
    <row r="112" spans="1:9" x14ac:dyDescent="0.2">
      <c r="H112">
        <v>56.4</v>
      </c>
      <c r="I112">
        <v>4</v>
      </c>
    </row>
    <row r="113" spans="1:9" x14ac:dyDescent="0.2">
      <c r="H113">
        <v>24.7</v>
      </c>
      <c r="I113">
        <v>3</v>
      </c>
    </row>
    <row r="114" spans="1:9" x14ac:dyDescent="0.2">
      <c r="A114" t="s">
        <v>46</v>
      </c>
      <c r="B114" t="s">
        <v>47</v>
      </c>
      <c r="C114">
        <v>1</v>
      </c>
      <c r="D114">
        <v>146.44999999999999</v>
      </c>
      <c r="E114">
        <v>146.44999999999999</v>
      </c>
      <c r="F114">
        <v>0</v>
      </c>
      <c r="G114">
        <v>1</v>
      </c>
    </row>
    <row r="115" spans="1:9" x14ac:dyDescent="0.2">
      <c r="H115">
        <v>19.8</v>
      </c>
      <c r="I115">
        <v>3</v>
      </c>
    </row>
    <row r="116" spans="1:9" x14ac:dyDescent="0.2">
      <c r="H116">
        <v>12.4</v>
      </c>
      <c r="I116">
        <v>7</v>
      </c>
    </row>
    <row r="117" spans="1:9" x14ac:dyDescent="0.2">
      <c r="H117">
        <v>14.25</v>
      </c>
      <c r="I117">
        <v>8</v>
      </c>
    </row>
    <row r="118" spans="1:9" x14ac:dyDescent="0.2">
      <c r="H118">
        <v>90.1</v>
      </c>
      <c r="I118">
        <v>2</v>
      </c>
    </row>
    <row r="119" spans="1:9" x14ac:dyDescent="0.2">
      <c r="H119">
        <v>9.9</v>
      </c>
      <c r="I119">
        <v>4</v>
      </c>
    </row>
    <row r="120" spans="1:9" x14ac:dyDescent="0.2">
      <c r="A120" t="s">
        <v>47</v>
      </c>
      <c r="B120" t="s">
        <v>48</v>
      </c>
      <c r="C120">
        <v>1</v>
      </c>
      <c r="D120">
        <f>SUM(H121:H126)</f>
        <v>217.89</v>
      </c>
      <c r="E120">
        <f>D120</f>
        <v>217.89</v>
      </c>
      <c r="F120">
        <v>0</v>
      </c>
      <c r="G120">
        <v>1</v>
      </c>
    </row>
    <row r="121" spans="1:9" x14ac:dyDescent="0.2">
      <c r="H121">
        <v>78.400000000000006</v>
      </c>
      <c r="I121">
        <v>4</v>
      </c>
    </row>
    <row r="122" spans="1:9" x14ac:dyDescent="0.2">
      <c r="H122">
        <v>13.67</v>
      </c>
      <c r="I122">
        <v>9</v>
      </c>
    </row>
    <row r="123" spans="1:9" x14ac:dyDescent="0.2">
      <c r="H123">
        <v>41.3</v>
      </c>
      <c r="I123">
        <v>2</v>
      </c>
    </row>
    <row r="124" spans="1:9" x14ac:dyDescent="0.2">
      <c r="H124">
        <v>13.1</v>
      </c>
      <c r="I124">
        <v>7</v>
      </c>
    </row>
    <row r="125" spans="1:9" x14ac:dyDescent="0.2">
      <c r="H125">
        <v>53.5</v>
      </c>
      <c r="I125">
        <v>3</v>
      </c>
    </row>
    <row r="126" spans="1:9" x14ac:dyDescent="0.2">
      <c r="H126">
        <v>17.920000000000002</v>
      </c>
      <c r="I126">
        <v>8</v>
      </c>
    </row>
    <row r="127" spans="1:9" x14ac:dyDescent="0.2">
      <c r="A127" t="s">
        <v>48</v>
      </c>
      <c r="B127" t="s">
        <v>49</v>
      </c>
      <c r="C127">
        <v>1</v>
      </c>
      <c r="D127">
        <v>264.39</v>
      </c>
      <c r="E127">
        <v>264.39</v>
      </c>
      <c r="F127">
        <v>0</v>
      </c>
      <c r="G127">
        <v>1</v>
      </c>
    </row>
    <row r="128" spans="1:9" x14ac:dyDescent="0.2">
      <c r="H128">
        <v>12.4</v>
      </c>
      <c r="I128">
        <v>7</v>
      </c>
    </row>
    <row r="129" spans="1:9" x14ac:dyDescent="0.2">
      <c r="H129">
        <v>74.44</v>
      </c>
      <c r="I129">
        <v>2</v>
      </c>
    </row>
    <row r="130" spans="1:9" x14ac:dyDescent="0.2">
      <c r="H130">
        <v>83.7</v>
      </c>
      <c r="I130">
        <v>3</v>
      </c>
    </row>
    <row r="131" spans="1:9" x14ac:dyDescent="0.2">
      <c r="H131">
        <v>42.6</v>
      </c>
      <c r="I131">
        <v>4</v>
      </c>
    </row>
    <row r="132" spans="1:9" x14ac:dyDescent="0.2">
      <c r="H132">
        <v>51.25</v>
      </c>
      <c r="I132">
        <v>8</v>
      </c>
    </row>
    <row r="133" spans="1:9" x14ac:dyDescent="0.2">
      <c r="A133" t="s">
        <v>49</v>
      </c>
      <c r="B133" t="s">
        <v>50</v>
      </c>
      <c r="C133">
        <v>1</v>
      </c>
      <c r="D133">
        <f>SUM(H134:H139)</f>
        <v>303.01</v>
      </c>
      <c r="E133">
        <f>D133</f>
        <v>303.01</v>
      </c>
      <c r="F133">
        <v>0</v>
      </c>
      <c r="G133">
        <v>1</v>
      </c>
    </row>
    <row r="134" spans="1:9" x14ac:dyDescent="0.2">
      <c r="H134">
        <v>77.2</v>
      </c>
      <c r="I134">
        <v>2</v>
      </c>
    </row>
    <row r="135" spans="1:9" x14ac:dyDescent="0.2">
      <c r="H135">
        <v>73.8</v>
      </c>
      <c r="I135">
        <v>4</v>
      </c>
    </row>
    <row r="136" spans="1:9" x14ac:dyDescent="0.2">
      <c r="H136">
        <v>29.7</v>
      </c>
      <c r="I136">
        <v>3</v>
      </c>
    </row>
    <row r="137" spans="1:9" x14ac:dyDescent="0.2">
      <c r="H137">
        <v>72.84</v>
      </c>
      <c r="I137">
        <v>8</v>
      </c>
    </row>
    <row r="138" spans="1:9" x14ac:dyDescent="0.2">
      <c r="H138">
        <v>27.7</v>
      </c>
      <c r="I138">
        <v>7</v>
      </c>
    </row>
    <row r="139" spans="1:9" x14ac:dyDescent="0.2">
      <c r="H139">
        <v>21.77</v>
      </c>
      <c r="I139">
        <v>9</v>
      </c>
    </row>
    <row r="140" spans="1:9" x14ac:dyDescent="0.2">
      <c r="A140" t="s">
        <v>50</v>
      </c>
      <c r="B140" t="s">
        <v>51</v>
      </c>
      <c r="C140">
        <v>1</v>
      </c>
      <c r="D140">
        <v>212.23</v>
      </c>
      <c r="E140">
        <v>212.23</v>
      </c>
      <c r="F140">
        <v>0</v>
      </c>
      <c r="G140">
        <v>1</v>
      </c>
    </row>
    <row r="141" spans="1:9" x14ac:dyDescent="0.2">
      <c r="H141">
        <v>101.1</v>
      </c>
      <c r="I141">
        <v>4</v>
      </c>
    </row>
    <row r="142" spans="1:9" x14ac:dyDescent="0.2">
      <c r="H142">
        <v>6.21</v>
      </c>
      <c r="I142">
        <v>3</v>
      </c>
    </row>
    <row r="143" spans="1:9" x14ac:dyDescent="0.2">
      <c r="H143">
        <v>10.32</v>
      </c>
      <c r="I143">
        <v>8</v>
      </c>
    </row>
    <row r="144" spans="1:9" x14ac:dyDescent="0.2">
      <c r="H144">
        <v>44.1</v>
      </c>
      <c r="I144">
        <v>2</v>
      </c>
    </row>
    <row r="145" spans="1:9" x14ac:dyDescent="0.2">
      <c r="H145">
        <v>50.5</v>
      </c>
      <c r="I145">
        <v>7</v>
      </c>
    </row>
    <row r="146" spans="1:9" x14ac:dyDescent="0.2">
      <c r="A146" t="s">
        <v>51</v>
      </c>
      <c r="B146" t="s">
        <v>52</v>
      </c>
      <c r="C146">
        <v>1</v>
      </c>
      <c r="D146">
        <v>159.34</v>
      </c>
      <c r="E146">
        <v>159.34</v>
      </c>
      <c r="F146">
        <v>0</v>
      </c>
      <c r="G146">
        <v>1</v>
      </c>
    </row>
    <row r="147" spans="1:9" x14ac:dyDescent="0.2">
      <c r="H147">
        <v>50.5</v>
      </c>
      <c r="I147">
        <v>2</v>
      </c>
    </row>
    <row r="148" spans="1:9" x14ac:dyDescent="0.2">
      <c r="H148">
        <v>26.6</v>
      </c>
      <c r="I148">
        <v>7</v>
      </c>
    </row>
    <row r="149" spans="1:9" x14ac:dyDescent="0.2">
      <c r="H149">
        <v>15.84</v>
      </c>
      <c r="I149">
        <v>8</v>
      </c>
    </row>
    <row r="150" spans="1:9" x14ac:dyDescent="0.2">
      <c r="H150">
        <v>23.7</v>
      </c>
      <c r="I150">
        <v>3</v>
      </c>
    </row>
    <row r="151" spans="1:9" x14ac:dyDescent="0.2">
      <c r="H151">
        <v>42.7</v>
      </c>
      <c r="I151">
        <v>4</v>
      </c>
    </row>
    <row r="152" spans="1:9" x14ac:dyDescent="0.2">
      <c r="A152" t="s">
        <v>52</v>
      </c>
      <c r="B152" t="s">
        <v>53</v>
      </c>
      <c r="C152">
        <v>1</v>
      </c>
      <c r="D152">
        <v>181.9</v>
      </c>
      <c r="E152">
        <v>181.9</v>
      </c>
      <c r="F152">
        <v>0</v>
      </c>
      <c r="G152">
        <v>1</v>
      </c>
    </row>
    <row r="153" spans="1:9" x14ac:dyDescent="0.2">
      <c r="H153">
        <v>61</v>
      </c>
      <c r="I153">
        <v>4</v>
      </c>
    </row>
    <row r="154" spans="1:9" x14ac:dyDescent="0.2">
      <c r="H154">
        <v>35.700000000000003</v>
      </c>
      <c r="I154">
        <v>3</v>
      </c>
    </row>
    <row r="155" spans="1:9" x14ac:dyDescent="0.2">
      <c r="H155">
        <v>49</v>
      </c>
      <c r="I155">
        <v>2</v>
      </c>
    </row>
    <row r="156" spans="1:9" x14ac:dyDescent="0.2">
      <c r="H156">
        <v>36.200000000000003</v>
      </c>
      <c r="I156">
        <v>7</v>
      </c>
    </row>
    <row r="157" spans="1:9" x14ac:dyDescent="0.2">
      <c r="A157" t="s">
        <v>53</v>
      </c>
      <c r="B157" t="s">
        <v>54</v>
      </c>
      <c r="C157">
        <v>1</v>
      </c>
      <c r="D157">
        <v>189.77</v>
      </c>
      <c r="E157">
        <v>189.77</v>
      </c>
      <c r="F157">
        <v>0</v>
      </c>
      <c r="G157">
        <v>1</v>
      </c>
    </row>
    <row r="158" spans="1:9" x14ac:dyDescent="0.2">
      <c r="H158">
        <v>31.3</v>
      </c>
      <c r="I158">
        <v>7</v>
      </c>
    </row>
    <row r="159" spans="1:9" x14ac:dyDescent="0.2">
      <c r="H159">
        <v>69.400000000000006</v>
      </c>
      <c r="I159">
        <v>4</v>
      </c>
    </row>
    <row r="160" spans="1:9" x14ac:dyDescent="0.2">
      <c r="H160">
        <v>19.8</v>
      </c>
      <c r="I160">
        <v>2</v>
      </c>
    </row>
    <row r="161" spans="1:9" x14ac:dyDescent="0.2">
      <c r="H161">
        <v>45.5</v>
      </c>
      <c r="I161">
        <v>3</v>
      </c>
    </row>
    <row r="162" spans="1:9" x14ac:dyDescent="0.2">
      <c r="H162">
        <v>23.77</v>
      </c>
      <c r="I162">
        <v>8</v>
      </c>
    </row>
    <row r="163" spans="1:9" x14ac:dyDescent="0.2">
      <c r="A163" t="s">
        <v>54</v>
      </c>
      <c r="B163" t="s">
        <v>55</v>
      </c>
      <c r="C163">
        <v>1</v>
      </c>
      <c r="D163">
        <v>262.39999999999998</v>
      </c>
      <c r="E163">
        <v>262.39999999999998</v>
      </c>
      <c r="F163">
        <v>0</v>
      </c>
      <c r="G163">
        <v>1</v>
      </c>
    </row>
    <row r="164" spans="1:9" x14ac:dyDescent="0.2">
      <c r="H164">
        <v>66.3</v>
      </c>
      <c r="I164">
        <v>3</v>
      </c>
    </row>
    <row r="165" spans="1:9" x14ac:dyDescent="0.2">
      <c r="H165">
        <v>48.8</v>
      </c>
      <c r="I165">
        <v>4</v>
      </c>
    </row>
    <row r="166" spans="1:9" x14ac:dyDescent="0.2">
      <c r="H166">
        <v>29.7</v>
      </c>
      <c r="I166">
        <v>7</v>
      </c>
    </row>
    <row r="167" spans="1:9" x14ac:dyDescent="0.2">
      <c r="H167">
        <v>117.6</v>
      </c>
      <c r="I167">
        <v>2</v>
      </c>
    </row>
    <row r="168" spans="1:9" x14ac:dyDescent="0.2">
      <c r="A168" t="s">
        <v>55</v>
      </c>
      <c r="B168" t="s">
        <v>56</v>
      </c>
      <c r="C168">
        <v>1</v>
      </c>
      <c r="D168">
        <v>105.94</v>
      </c>
      <c r="E168">
        <v>105.94</v>
      </c>
      <c r="F168">
        <v>0</v>
      </c>
      <c r="G168">
        <v>1</v>
      </c>
    </row>
    <row r="169" spans="1:9" x14ac:dyDescent="0.2">
      <c r="H169">
        <v>16.3</v>
      </c>
      <c r="I169">
        <v>4</v>
      </c>
    </row>
    <row r="170" spans="1:9" x14ac:dyDescent="0.2">
      <c r="H170">
        <v>66.3</v>
      </c>
      <c r="I170">
        <v>3</v>
      </c>
    </row>
    <row r="171" spans="1:9" x14ac:dyDescent="0.2">
      <c r="H171">
        <v>13.44</v>
      </c>
      <c r="I171">
        <v>8</v>
      </c>
    </row>
    <row r="172" spans="1:9" x14ac:dyDescent="0.2">
      <c r="H172">
        <v>9.9</v>
      </c>
      <c r="I172">
        <v>2</v>
      </c>
    </row>
    <row r="173" spans="1:9" x14ac:dyDescent="0.2">
      <c r="A173" t="s">
        <v>56</v>
      </c>
      <c r="B173" t="s">
        <v>57</v>
      </c>
      <c r="C173">
        <v>1</v>
      </c>
      <c r="D173">
        <f>SUM(H174:H177)</f>
        <v>209.64</v>
      </c>
      <c r="E173">
        <f>D173</f>
        <v>209.64</v>
      </c>
      <c r="F173">
        <v>0</v>
      </c>
      <c r="G173">
        <v>1</v>
      </c>
    </row>
    <row r="174" spans="1:9" x14ac:dyDescent="0.2">
      <c r="H174">
        <v>55.4</v>
      </c>
      <c r="I174">
        <v>4</v>
      </c>
    </row>
    <row r="175" spans="1:9" x14ac:dyDescent="0.2">
      <c r="H175">
        <v>19.8</v>
      </c>
      <c r="I175">
        <v>3</v>
      </c>
    </row>
    <row r="176" spans="1:9" x14ac:dyDescent="0.2">
      <c r="H176">
        <v>83.8</v>
      </c>
      <c r="I176">
        <v>2</v>
      </c>
    </row>
    <row r="177" spans="1:9" x14ac:dyDescent="0.2">
      <c r="H177">
        <v>50.64</v>
      </c>
      <c r="I177">
        <v>9</v>
      </c>
    </row>
    <row r="178" spans="1:9" x14ac:dyDescent="0.2">
      <c r="A178" t="s">
        <v>57</v>
      </c>
      <c r="B178" t="s">
        <v>58</v>
      </c>
      <c r="C178">
        <v>1</v>
      </c>
      <c r="D178">
        <f>SUM(H179:H184)</f>
        <v>254.84</v>
      </c>
      <c r="E178">
        <f>D178</f>
        <v>254.84</v>
      </c>
      <c r="F178">
        <v>0</v>
      </c>
      <c r="G178">
        <v>1</v>
      </c>
    </row>
    <row r="179" spans="1:9" x14ac:dyDescent="0.2">
      <c r="H179">
        <v>29.7</v>
      </c>
      <c r="I179">
        <v>2</v>
      </c>
    </row>
    <row r="180" spans="1:9" x14ac:dyDescent="0.2">
      <c r="H180">
        <v>30.2</v>
      </c>
      <c r="I180">
        <v>9</v>
      </c>
    </row>
    <row r="181" spans="1:9" x14ac:dyDescent="0.2">
      <c r="H181">
        <v>23.3</v>
      </c>
      <c r="I181">
        <v>3</v>
      </c>
    </row>
    <row r="182" spans="1:9" x14ac:dyDescent="0.2">
      <c r="H182">
        <v>62.9</v>
      </c>
      <c r="I182">
        <v>7</v>
      </c>
    </row>
    <row r="183" spans="1:9" x14ac:dyDescent="0.2">
      <c r="H183">
        <v>51.7</v>
      </c>
      <c r="I183">
        <v>4</v>
      </c>
    </row>
    <row r="184" spans="1:9" x14ac:dyDescent="0.2">
      <c r="H184">
        <v>57.04</v>
      </c>
      <c r="I184">
        <v>8</v>
      </c>
    </row>
    <row r="185" spans="1:9" x14ac:dyDescent="0.2">
      <c r="A185" t="s">
        <v>58</v>
      </c>
      <c r="B185" t="s">
        <v>59</v>
      </c>
      <c r="C185">
        <v>1</v>
      </c>
      <c r="D185">
        <v>343.32</v>
      </c>
      <c r="E185">
        <f>SUM(H186:H191)</f>
        <v>343.32</v>
      </c>
      <c r="F185">
        <v>0</v>
      </c>
      <c r="G185">
        <v>1</v>
      </c>
    </row>
    <row r="186" spans="1:9" x14ac:dyDescent="0.2">
      <c r="H186">
        <v>49.6</v>
      </c>
      <c r="I186">
        <v>2</v>
      </c>
    </row>
    <row r="187" spans="1:9" x14ac:dyDescent="0.2">
      <c r="H187">
        <v>73.2</v>
      </c>
      <c r="I187">
        <v>4</v>
      </c>
    </row>
    <row r="188" spans="1:9" x14ac:dyDescent="0.2">
      <c r="H188">
        <v>38.6</v>
      </c>
      <c r="I188">
        <v>9</v>
      </c>
    </row>
    <row r="189" spans="1:9" x14ac:dyDescent="0.2">
      <c r="H189">
        <v>79.3</v>
      </c>
      <c r="I189">
        <v>3</v>
      </c>
    </row>
    <row r="190" spans="1:9" x14ac:dyDescent="0.2">
      <c r="H190">
        <v>35.119999999999997</v>
      </c>
      <c r="I190">
        <v>8</v>
      </c>
    </row>
    <row r="191" spans="1:9" x14ac:dyDescent="0.2">
      <c r="H191">
        <v>67.5</v>
      </c>
      <c r="I191">
        <v>7</v>
      </c>
    </row>
  </sheetData>
  <mergeCells count="23">
    <mergeCell ref="A1:L1"/>
    <mergeCell ref="A5:L5"/>
    <mergeCell ref="A14:L14"/>
    <mergeCell ref="A23:L23"/>
    <mergeCell ref="A8:L8"/>
    <mergeCell ref="A19:L19"/>
    <mergeCell ref="A10:L10"/>
    <mergeCell ref="A6:L6"/>
    <mergeCell ref="A16:L16"/>
    <mergeCell ref="A7:L7"/>
    <mergeCell ref="A21:L21"/>
    <mergeCell ref="A2:L2"/>
    <mergeCell ref="A18:L18"/>
    <mergeCell ref="A3:L3"/>
    <mergeCell ref="A9:L9"/>
    <mergeCell ref="A17:L17"/>
    <mergeCell ref="A12:L12"/>
    <mergeCell ref="A15:L15"/>
    <mergeCell ref="A4:L4"/>
    <mergeCell ref="A11:L11"/>
    <mergeCell ref="A20:L20"/>
    <mergeCell ref="A13:L13"/>
    <mergeCell ref="A22:L22"/>
  </mergeCells>
  <dataValidations count="3">
    <dataValidation type="date" sqref="D29:D4994 B27:B28 C26:C4994" xr:uid="{00000000-0002-0000-0000-000000000000}">
      <formula1>DATE(2000,1,1)</formula1>
      <formula2>DATE(2100,12,31)</formula2>
    </dataValidation>
    <dataValidation type="whole" operator="greaterThanOrEqual" allowBlank="1" sqref="E29:E4994 J26:J28 K29:K4994 H26:H28 I29:I4994 D26:D28" xr:uid="{00000000-0002-0000-0000-000001000000}">
      <formula1>0</formula1>
    </dataValidation>
    <dataValidation type="decimal" operator="greaterThanOrEqual" allowBlank="1" sqref="F29:H4994 I26:I28 J29:J4994 E26:G28" xr:uid="{00000000-0002-0000-0000-000002000000}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Kokonuts</cp:lastModifiedBy>
  <dcterms:created xsi:type="dcterms:W3CDTF">2025-12-30T09:13:17Z</dcterms:created>
  <dcterms:modified xsi:type="dcterms:W3CDTF">2025-12-31T09:10:42Z</dcterms:modified>
</cp:coreProperties>
</file>